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4.xml.rels" ContentType="application/vnd.openxmlformats-package.relationships+xml"/>
  <Override PartName="/xl/worksheets/_rels/sheet1.xml.rels" ContentType="application/vnd.openxmlformats-package.relationships+xml"/>
  <Override PartName="/xl/worksheets/_rels/sheet7.xml.rels" ContentType="application/vnd.openxmlformats-package.relationships+xml"/>
  <Override PartName="/xl/worksheets/_rels/sheet10.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8.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55.png" ContentType="image/png"/>
  <Override PartName="/xl/media/image56.png" ContentType="image/png"/>
  <Override PartName="/xl/media/image57.png" ContentType="image/png"/>
  <Override PartName="/xl/media/image58.png" ContentType="image/png"/>
  <Override PartName="/xl/media/image59.png" ContentType="image/png"/>
  <Override PartName="/xl/media/image60.png" ContentType="image/png"/>
  <Override PartName="/xl/comments5.xml" ContentType="application/vnd.openxmlformats-officedocument.spreadsheetml.comments+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_rels/drawing6.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6.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Intro" sheetId="1" state="visible" r:id="rId2"/>
    <sheet name="1. General" sheetId="2" state="visible" r:id="rId3"/>
    <sheet name="2. Company Facts" sheetId="3" state="visible" r:id="rId4"/>
    <sheet name="3. Calc" sheetId="4" state="visible" r:id="rId5"/>
    <sheet name="9. Weighting" sheetId="5" state="hidden" r:id="rId6"/>
    <sheet name="4. ECG-Matrix" sheetId="6" state="visible" r:id="rId7"/>
    <sheet name="5. Values" sheetId="7" state="visible" r:id="rId8"/>
    <sheet name="6. Stakeholder" sheetId="8" state="visible" r:id="rId9"/>
    <sheet name="7. Topics" sheetId="9" state="visible" r:id="rId10"/>
    <sheet name="8. Descr.Weighting" sheetId="10" state="visible" r:id="rId11"/>
    <sheet name="9. Change-Management" sheetId="11" state="visible" r:id="rId12"/>
    <sheet name="10. Industry" sheetId="12" state="hidden" r:id="rId13"/>
    <sheet name="11.Region" sheetId="13" state="hidden" r:id="rId14"/>
    <sheet name="12.lan" sheetId="14" state="hidden" r:id="rId15"/>
  </sheets>
  <definedNames>
    <definedName function="false" hidden="false" name="Branche" vbProcedure="false">'10. Industry'!$B$4:$B$32</definedName>
    <definedName function="false" hidden="false" name="Branchen" vbProcedure="false">'10. Industry'!$B$4:$B$32</definedName>
    <definedName function="false" hidden="false" name="CountryCodes" vbProcedure="false">'11.Region'!$A$22:$A$243</definedName>
    <definedName function="false" hidden="false" name="JaNein" vbProcedure="false">'2. Company Facts'!$D$34:$F$34</definedName>
    <definedName function="false" hidden="false" name="Regionen" vbProcedure="false">'11.Region'!$A$21:$A$243</definedName>
    <definedName function="false" hidden="false" name="__xlfn_IFERROR" vbProcedure="false">#N/A</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 </author>
  </authors>
  <commentList>
    <comment ref="F10" authorId="0">
      <text>
        <r>
          <rPr>
            <sz val="11"/>
            <color rgb="FF000000"/>
            <rFont val="Calibri"/>
            <family val="2"/>
            <charset val="1"/>
          </rPr>
          <t xml:space="preserve">please insert the total expenditures on the supply chain. This does not include taxes, royalties and finance costs. </t>
        </r>
      </text>
    </comment>
    <comment ref="F12" authorId="0">
      <text>
        <r>
          <rPr>
            <sz val="11"/>
            <color rgb="FF000000"/>
            <rFont val="Calibri"/>
            <family val="2"/>
            <charset val="1"/>
          </rPr>
          <t xml:space="preserve">Please in the five most important industries your companies purchased goods or services from. </t>
        </r>
      </text>
    </comment>
    <comment ref="F19" authorId="0">
      <text>
        <r>
          <rPr>
            <sz val="11"/>
            <color rgb="FF000000"/>
            <rFont val="Calibri"/>
            <family val="2"/>
            <charset val="1"/>
          </rPr>
          <t xml:space="preserve">please insert the profit after tax of the company</t>
        </r>
      </text>
    </comment>
    <comment ref="F21" authorId="0">
      <text>
        <r>
          <rPr>
            <sz val="11"/>
            <color rgb="FF000000"/>
            <rFont val="Calibri"/>
            <family val="2"/>
            <charset val="1"/>
          </rPr>
          <t xml:space="preserve">please insert the total amount of finance costs (expenses for interest, distributed profits to external persons, etc.).</t>
        </r>
      </text>
    </comment>
    <comment ref="F24" authorId="0">
      <text>
        <r>
          <rPr>
            <sz val="11"/>
            <color rgb="FF000000"/>
            <rFont val="Calibri"/>
            <family val="2"/>
            <charset val="1"/>
          </rPr>
          <t xml:space="preserve">
please insert the sum of financial instrument, (e.g. bonds, pensions funds) and deposit at banks or a rough estimate</t>
        </r>
      </text>
    </comment>
    <comment ref="F25" authorId="0">
      <text>
        <r>
          <rPr>
            <sz val="11"/>
            <color rgb="FF000000"/>
            <rFont val="Calibri"/>
            <family val="2"/>
            <charset val="1"/>
          </rPr>
          <t xml:space="preserve">please insert the total expenditures on employees (wages and salaries without social expenditures)</t>
        </r>
      </text>
    </comment>
    <comment ref="F26" authorId="0">
      <text>
        <r>
          <rPr>
            <sz val="11"/>
            <color rgb="FF000000"/>
            <rFont val="Calibri"/>
            <family val="2"/>
            <charset val="1"/>
          </rPr>
          <t xml:space="preserve">please insert the total number of employees by full-time-equivalents</t>
        </r>
      </text>
    </comment>
    <comment ref="F30" authorId="0">
      <text>
        <r>
          <rPr>
            <sz val="11"/>
            <color rgb="FF000000"/>
            <rFont val="Calibri"/>
            <family val="2"/>
            <charset val="1"/>
          </rPr>
          <t xml:space="preserve">please insert the (estimated) average distance of the employees from the company in km</t>
        </r>
      </text>
    </comment>
    <comment ref="F31" authorId="0">
      <text>
        <r>
          <rPr>
            <sz val="11"/>
            <color rgb="FF000000"/>
            <rFont val="Calibri"/>
            <family val="2"/>
            <charset val="1"/>
          </rPr>
          <t xml:space="preserve">Does a company cantine exist, which more than 50% of the employee use?</t>
        </r>
      </text>
    </comment>
    <comment ref="F32" authorId="0">
      <text>
        <r>
          <rPr>
            <sz val="11"/>
            <color rgb="FF000000"/>
            <rFont val="Calibri"/>
            <family val="2"/>
            <charset val="1"/>
          </rPr>
          <t xml:space="preserve">please insert the total sales (source:  income statement)</t>
        </r>
      </text>
    </comment>
    <comment ref="F34" authorId="0">
      <text>
        <r>
          <rPr>
            <sz val="11"/>
            <color rgb="FF000000"/>
            <rFont val="Calibri"/>
            <family val="2"/>
            <charset val="1"/>
          </rPr>
          <t xml:space="preserve">Please in the three most important industries your companies purchased goods or services from.  If you provide only one product, you can distinguish into customers segments, in case you provide many different products and services try to group them as far as possible</t>
        </r>
      </text>
    </comment>
    <comment ref="G12" authorId="0">
      <text>
        <r>
          <rPr>
            <sz val="11"/>
            <color rgb="FF000000"/>
            <rFont val="Calibri"/>
            <family val="2"/>
            <charset val="1"/>
          </rPr>
          <t xml:space="preserve">Please describe in the five most importantgoods or services your company purchased 
</t>
        </r>
      </text>
    </comment>
    <comment ref="G22" authorId="0">
      <text>
        <r>
          <rPr>
            <sz val="11"/>
            <color rgb="FF000000"/>
            <rFont val="Calibri"/>
            <family val="2"/>
            <charset val="1"/>
          </rPr>
          <t xml:space="preserve">T410:
please insert the total finance income (e.g. interests received)</t>
        </r>
      </text>
    </comment>
    <comment ref="G23" authorId="0">
      <text>
        <r>
          <rPr>
            <sz val="11"/>
            <color rgb="FF000000"/>
            <rFont val="Calibri"/>
            <family val="2"/>
            <charset val="1"/>
          </rPr>
          <t xml:space="preserve">please insert the total assets of the balance sheet</t>
        </r>
      </text>
    </comment>
    <comment ref="G27" authorId="0">
      <text>
        <r>
          <rPr>
            <sz val="11"/>
            <color rgb="FF000000"/>
            <rFont val="Calibri"/>
            <family val="2"/>
            <charset val="1"/>
          </rPr>
          <t xml:space="preserve">please name the country with the most employees and their precentage of all employees</t>
        </r>
      </text>
    </comment>
    <comment ref="G28" authorId="0">
      <text>
        <r>
          <rPr>
            <sz val="11"/>
            <color rgb="FF000000"/>
            <rFont val="Calibri"/>
            <family val="2"/>
            <charset val="1"/>
          </rPr>
          <t xml:space="preserve">please name the country with the 2nd most employees and their precentage of all employees</t>
        </r>
      </text>
    </comment>
    <comment ref="G29" authorId="0">
      <text>
        <r>
          <rPr>
            <sz val="11"/>
            <color rgb="FF000000"/>
            <rFont val="Calibri"/>
            <family val="2"/>
            <charset val="1"/>
          </rPr>
          <t xml:space="preserve">please name the country with the 3rd most employees and their precentage of all employees</t>
        </r>
      </text>
    </comment>
    <comment ref="G34" authorId="0">
      <text>
        <r>
          <rPr>
            <sz val="11"/>
            <color rgb="FF000000"/>
            <rFont val="Calibri"/>
            <family val="2"/>
            <charset val="1"/>
          </rPr>
          <t xml:space="preserve">please insert a short description of the service and product</t>
        </r>
      </text>
    </comment>
    <comment ref="H12" authorId="0">
      <text>
        <r>
          <rPr>
            <sz val="11"/>
            <color rgb="FF000000"/>
            <rFont val="Calibri"/>
            <family val="2"/>
            <charset val="1"/>
          </rPr>
          <t xml:space="preserve">Please select the region where the five most important  purchased goods or services are produced. Select, as far as possible, the region where the most important step happens (e.g. extraction, production )</t>
        </r>
      </text>
    </comment>
    <comment ref="H24" authorId="0">
      <text>
        <r>
          <rPr>
            <sz val="11"/>
            <color rgb="FF000000"/>
            <rFont val="Calibri"/>
            <family val="2"/>
            <charset val="1"/>
          </rPr>
          <t xml:space="preserve">
please insert the sum of financial instrument, (e.g. bonds, pensions funds) and deposit at banks or a rough estimate</t>
        </r>
      </text>
    </comment>
    <comment ref="I12" authorId="0">
      <text>
        <r>
          <rPr>
            <sz val="11"/>
            <color rgb="FF000000"/>
            <rFont val="Calibri"/>
            <family val="2"/>
            <charset val="1"/>
          </rPr>
          <t xml:space="preserve">Please insert the amounts spent for the five most important industries your companies purchased goods or services from. </t>
        </r>
      </text>
    </comment>
    <comment ref="M10" authorId="0">
      <text>
        <r>
          <rPr>
            <sz val="11"/>
            <color rgb="FF000000"/>
            <rFont val="Calibri"/>
            <family val="2"/>
            <charset val="1"/>
          </rPr>
          <t xml:space="preserve">the weighting of topics is dependent on the social risk of the industry of the supplier (see country rating). The social risk is currently deduced from societal controversies in the respective industry. In future a more elaborate approach is aimed</t>
        </r>
      </text>
    </comment>
    <comment ref="M19" authorId="0">
      <text>
        <r>
          <rPr>
            <sz val="11"/>
            <color rgb="FF000000"/>
            <rFont val="Calibri"/>
            <family val="2"/>
            <charset val="1"/>
          </rPr>
          <t xml:space="preserve">the weighting of this topics is dependent on the ratio of sales / total assets. The lower the ratio, the higher is the rating</t>
        </r>
      </text>
    </comment>
    <comment ref="N10" authorId="0">
      <text>
        <r>
          <rPr>
            <sz val="11"/>
            <color rgb="FF000000"/>
            <rFont val="Calibri"/>
            <family val="2"/>
            <charset val="1"/>
          </rPr>
          <t xml:space="preserve">currently no weighting, one idea: regional minimum wages / gini-coefficient?
</t>
        </r>
      </text>
    </comment>
    <comment ref="N19" authorId="0">
      <text>
        <r>
          <rPr>
            <sz val="11"/>
            <color rgb="FF000000"/>
            <rFont val="Calibri"/>
            <family val="2"/>
            <charset val="1"/>
          </rPr>
          <t xml:space="preserve">the weighting of this topics is dependent on the amount of the ratio  (profit / turnover)</t>
        </r>
      </text>
    </comment>
    <comment ref="N38" authorId="0">
      <text>
        <r>
          <rPr>
            <sz val="11"/>
            <color rgb="FF000000"/>
            <rFont val="Calibri"/>
            <family val="2"/>
            <charset val="1"/>
          </rPr>
          <t xml:space="preserve">the weighting of this topics is dependent on the amount of the ratio  (profit / turnover)</t>
        </r>
      </text>
    </comment>
    <comment ref="O10" authorId="0">
      <text>
        <r>
          <rPr>
            <sz val="11"/>
            <color rgb="FF000000"/>
            <rFont val="Calibri"/>
            <family val="2"/>
            <charset val="1"/>
          </rPr>
          <t xml:space="preserve">the weighting of topics is dependent on the environmental risk of the industry of the supplier (see country rating). The risk is currently deduced from ecological impact of the industry. Based on environmental input-output data more precise data should be available soon</t>
        </r>
      </text>
    </comment>
    <comment ref="O19" authorId="0">
      <text>
        <r>
          <rPr>
            <sz val="11"/>
            <color rgb="FF000000"/>
            <rFont val="Calibri"/>
            <family val="2"/>
            <charset val="1"/>
          </rPr>
          <t xml:space="preserve">the weighting of this topics is dependent on the interest received for invested capital in relation to the turnover</t>
        </r>
      </text>
    </comment>
    <comment ref="O25" authorId="0">
      <text>
        <r>
          <rPr>
            <sz val="11"/>
            <color rgb="FF000000"/>
            <rFont val="Calibri"/>
            <family val="2"/>
            <charset val="1"/>
          </rPr>
          <t xml:space="preserve">the weighting of topic is dependent on the existence of a cantine for the majority of the employees and employee commuting (distance from the work place).  Studies of certain comanies have indicated, that can have rather high impacts in case of a company cantine and  when employees need to travel far everyday.</t>
        </r>
      </text>
    </comment>
    <comment ref="O32" authorId="0">
      <text>
        <r>
          <rPr>
            <sz val="11"/>
            <color rgb="FF000000"/>
            <rFont val="Calibri"/>
            <family val="2"/>
            <charset val="1"/>
          </rPr>
          <t xml:space="preserve">the weighting of topic is dependent on the envrionmental risk of the industry. The risk is currently deduced from interviews with experts and media research. Based on environmental input-output data more precise data should be available soon</t>
        </r>
      </text>
    </comment>
    <comment ref="O38" authorId="0">
      <text>
        <r>
          <rPr>
            <sz val="11"/>
            <color rgb="FF000000"/>
            <rFont val="Calibri"/>
            <family val="2"/>
            <charset val="1"/>
          </rPr>
          <t xml:space="preserve">the weighting of topic is dependent on the envrionmental risk of the industry. The risk is currently deduced from expert interview and media research. Based on environmental input-output data more precise data should be available soon</t>
        </r>
      </text>
    </comment>
    <comment ref="P10" authorId="0">
      <text>
        <r>
          <rPr>
            <sz val="11"/>
            <color rgb="FF000000"/>
            <rFont val="Calibri"/>
            <family val="2"/>
            <charset val="1"/>
          </rPr>
          <t xml:space="preserve">The weighting of topics is dependent on the labour participation rights in the countries of origin of the most important purchased goods and services and is based on the ILUC-Index of the International Labour Union (ILO)</t>
        </r>
      </text>
    </comment>
    <comment ref="P19" authorId="0">
      <text>
        <r>
          <rPr>
            <sz val="11"/>
            <color rgb="FF000000"/>
            <rFont val="Calibri"/>
            <family val="2"/>
            <charset val="1"/>
          </rPr>
          <t xml:space="preserve">the weighting of this topics is dependent on the size of the company </t>
        </r>
      </text>
    </comment>
    <comment ref="P25" authorId="0">
      <text>
        <r>
          <rPr>
            <sz val="11"/>
            <color rgb="FF000000"/>
            <rFont val="Calibri"/>
            <family val="2"/>
            <charset val="1"/>
          </rPr>
          <t xml:space="preserve">the weighting of this topics is dependent on the size of the company </t>
        </r>
      </text>
    </comment>
    <comment ref="P32" authorId="0">
      <text>
        <r>
          <rPr>
            <sz val="11"/>
            <color rgb="FF000000"/>
            <rFont val="Calibri"/>
            <family val="2"/>
            <charset val="1"/>
          </rPr>
          <t xml:space="preserve">The Weighting is low if the company has almost entirely B2B-business</t>
        </r>
      </text>
    </comment>
    <comment ref="P38" authorId="0">
      <text>
        <r>
          <rPr>
            <sz val="11"/>
            <color rgb="FF000000"/>
            <rFont val="Calibri"/>
            <family val="2"/>
            <charset val="1"/>
          </rPr>
          <t xml:space="preserve"> the weighting of this topics is dependent on the size of the company and for some industries with high impact an adjacent communities the weighting is high</t>
        </r>
      </text>
    </comment>
  </commentList>
</comments>
</file>

<file path=xl/sharedStrings.xml><?xml version="1.0" encoding="utf-8"?>
<sst xmlns="http://schemas.openxmlformats.org/spreadsheetml/2006/main" count="5137" uniqueCount="3369">
  <si>
    <t xml:space="preserve">English</t>
  </si>
  <si>
    <t xml:space="preserve">5.06</t>
  </si>
  <si>
    <t xml:space="preserve">a)</t>
  </si>
  <si>
    <t xml:space="preserve">b)</t>
  </si>
  <si>
    <t xml:space="preserve">c)</t>
  </si>
  <si>
    <t xml:space="preserve">d)</t>
  </si>
  <si>
    <t xml:space="preserve">e)</t>
  </si>
  <si>
    <t xml:space="preserve">f)</t>
  </si>
  <si>
    <t xml:space="preserve">LuftGewinn</t>
  </si>
  <si>
    <t xml:space="preserve"> , , 45456 </t>
  </si>
  <si>
    <t xml:space="preserve">Deutschland</t>
  </si>
  <si>
    <t xml:space="preserve">www.a.qq</t>
  </si>
  <si>
    <t xml:space="preserve">01.01.2019 - 31.12.2019</t>
  </si>
  <si>
    <t xml:space="preserve">N.  nachar</t>
  </si>
  <si>
    <t xml:space="preserve">nachar@gmx.net</t>
  </si>
  <si>
    <t xml:space="preserve"> </t>
  </si>
  <si>
    <t xml:space="preserve">gggg</t>
  </si>
  <si>
    <t xml:space="preserve">A - Landwirtschaft, Forstwirtschaft und Fischerei</t>
  </si>
  <si>
    <t xml:space="preserve">EGY Ägypten</t>
  </si>
  <si>
    <t xml:space="preserve">Ca - Food production, drinks and tobacco (C10, C11, C12)</t>
  </si>
  <si>
    <t xml:space="preserve">AFG Afghanistan</t>
  </si>
  <si>
    <t xml:space="preserve">DZA Algerien</t>
  </si>
  <si>
    <t xml:space="preserve">BGD Bangladesch</t>
  </si>
  <si>
    <t xml:space="preserve">Please enter</t>
  </si>
  <si>
    <t xml:space="preserve">QAT Katar</t>
  </si>
  <si>
    <t xml:space="preserve">ETH Äthiopien</t>
  </si>
  <si>
    <t xml:space="preserve">BHR Bahrain</t>
  </si>
  <si>
    <t xml:space="preserve">no</t>
  </si>
  <si>
    <t xml:space="preserve">Ja</t>
  </si>
  <si>
    <t xml:space="preserve">Nein</t>
  </si>
  <si>
    <t xml:space="preserve">ja</t>
  </si>
  <si>
    <t xml:space="preserve">J - Information und Kommunikation</t>
  </si>
  <si>
    <t xml:space="preserve">Ce - Pharmaceutical products and preparations (C21)</t>
  </si>
  <si>
    <t xml:space="preserve">abc</t>
  </si>
  <si>
    <t xml:space="preserve">ausblenden</t>
  </si>
  <si>
    <t xml:space="preserve">ausblenben</t>
  </si>
  <si>
    <t xml:space="preserve">Gewichtung Standard</t>
  </si>
  <si>
    <t xml:space="preserve">Reset</t>
  </si>
  <si>
    <t xml:space="preserve">A</t>
  </si>
  <si>
    <t xml:space="preserve">A1</t>
  </si>
  <si>
    <t xml:space="preserve">A1.1</t>
  </si>
  <si>
    <t xml:space="preserve">A1.2</t>
  </si>
  <si>
    <t xml:space="preserve">A2</t>
  </si>
  <si>
    <t xml:space="preserve">A2.1</t>
  </si>
  <si>
    <t xml:space="preserve">A2.2</t>
  </si>
  <si>
    <t xml:space="preserve">A2.3</t>
  </si>
  <si>
    <t xml:space="preserve">A3</t>
  </si>
  <si>
    <t xml:space="preserve">A3.1</t>
  </si>
  <si>
    <t xml:space="preserve">A3.2</t>
  </si>
  <si>
    <t xml:space="preserve">A4</t>
  </si>
  <si>
    <t xml:space="preserve">A4.1</t>
  </si>
  <si>
    <t xml:space="preserve">A4.2</t>
  </si>
  <si>
    <t xml:space="preserve">B</t>
  </si>
  <si>
    <t xml:space="preserve">B1</t>
  </si>
  <si>
    <t xml:space="preserve">B1.1</t>
  </si>
  <si>
    <t xml:space="preserve">B1.2</t>
  </si>
  <si>
    <t xml:space="preserve">B1.3</t>
  </si>
  <si>
    <t xml:space="preserve">B2</t>
  </si>
  <si>
    <t xml:space="preserve">B2.1</t>
  </si>
  <si>
    <t xml:space="preserve">B2.2</t>
  </si>
  <si>
    <t xml:space="preserve">B3</t>
  </si>
  <si>
    <t xml:space="preserve">B3.1</t>
  </si>
  <si>
    <t xml:space="preserve">B3.2</t>
  </si>
  <si>
    <t xml:space="preserve">B3.3</t>
  </si>
  <si>
    <t xml:space="preserve">B4</t>
  </si>
  <si>
    <t xml:space="preserve">B4.1</t>
  </si>
  <si>
    <t xml:space="preserve">B4.2</t>
  </si>
  <si>
    <t xml:space="preserve">C</t>
  </si>
  <si>
    <t xml:space="preserve">C1</t>
  </si>
  <si>
    <t xml:space="preserve">C1.1</t>
  </si>
  <si>
    <t xml:space="preserve">C1.2</t>
  </si>
  <si>
    <t xml:space="preserve">C1.3</t>
  </si>
  <si>
    <t xml:space="preserve">C1.4</t>
  </si>
  <si>
    <t xml:space="preserve">C2</t>
  </si>
  <si>
    <t xml:space="preserve">C2.1</t>
  </si>
  <si>
    <t xml:space="preserve">C2.2</t>
  </si>
  <si>
    <t xml:space="preserve">C2.3</t>
  </si>
  <si>
    <t xml:space="preserve">C2.4</t>
  </si>
  <si>
    <t xml:space="preserve">C3</t>
  </si>
  <si>
    <t xml:space="preserve">C3.1</t>
  </si>
  <si>
    <t xml:space="preserve">C3.2</t>
  </si>
  <si>
    <t xml:space="preserve">C3.3</t>
  </si>
  <si>
    <t xml:space="preserve">C3.4</t>
  </si>
  <si>
    <t xml:space="preserve">C4</t>
  </si>
  <si>
    <t xml:space="preserve">C4.1</t>
  </si>
  <si>
    <t xml:space="preserve">C4.2</t>
  </si>
  <si>
    <t xml:space="preserve">C4.3</t>
  </si>
  <si>
    <t xml:space="preserve">C4.4</t>
  </si>
  <si>
    <t xml:space="preserve">D</t>
  </si>
  <si>
    <t xml:space="preserve">D1</t>
  </si>
  <si>
    <t xml:space="preserve">D1.1</t>
  </si>
  <si>
    <t xml:space="preserve">D1.2</t>
  </si>
  <si>
    <t xml:space="preserve">D1.3</t>
  </si>
  <si>
    <t xml:space="preserve">D2</t>
  </si>
  <si>
    <t xml:space="preserve">D2.1</t>
  </si>
  <si>
    <t xml:space="preserve">D2.2</t>
  </si>
  <si>
    <t xml:space="preserve">D2.3</t>
  </si>
  <si>
    <t xml:space="preserve">D3</t>
  </si>
  <si>
    <t xml:space="preserve">D3.1</t>
  </si>
  <si>
    <t xml:space="preserve">D3.2</t>
  </si>
  <si>
    <t xml:space="preserve">D3.3</t>
  </si>
  <si>
    <t xml:space="preserve">D4</t>
  </si>
  <si>
    <t xml:space="preserve">D4.1</t>
  </si>
  <si>
    <t xml:space="preserve">D4.2</t>
  </si>
  <si>
    <t xml:space="preserve">E</t>
  </si>
  <si>
    <t xml:space="preserve">E1</t>
  </si>
  <si>
    <t xml:space="preserve">E1.1</t>
  </si>
  <si>
    <t xml:space="preserve">E1.2</t>
  </si>
  <si>
    <t xml:space="preserve">E1.3</t>
  </si>
  <si>
    <t xml:space="preserve">E2</t>
  </si>
  <si>
    <t xml:space="preserve">E2.1</t>
  </si>
  <si>
    <t xml:space="preserve">E2.2</t>
  </si>
  <si>
    <t xml:space="preserve">E2.3</t>
  </si>
  <si>
    <t xml:space="preserve">E2.4</t>
  </si>
  <si>
    <t xml:space="preserve">E3</t>
  </si>
  <si>
    <t xml:space="preserve">E3.1</t>
  </si>
  <si>
    <t xml:space="preserve">E3.2</t>
  </si>
  <si>
    <t xml:space="preserve">E3.3</t>
  </si>
  <si>
    <t xml:space="preserve">E4</t>
  </si>
  <si>
    <t xml:space="preserve">E4.1</t>
  </si>
  <si>
    <t xml:space="preserve">E4.2</t>
  </si>
  <si>
    <t xml:space="preserve">E4.3</t>
  </si>
  <si>
    <t xml:space="preserve">MATRIX 5.0</t>
  </si>
  <si>
    <t xml:space="preserve">VALUES WERTE</t>
  </si>
  <si>
    <t xml:space="preserve">1) HUMAN DIGNITY </t>
  </si>
  <si>
    <t xml:space="preserve">2) SOLIDARITY &amp;  JUSTICE</t>
  </si>
  <si>
    <t xml:space="preserve">3) ECOLOGICAL SUSTAINABILITY</t>
  </si>
  <si>
    <t xml:space="preserve">4) DEMOCRATIC CO-DETERMINATION AND TRANSPARENCY</t>
  </si>
  <si>
    <t xml:space="preserve">Total Sales (in Mio Euro)</t>
  </si>
  <si>
    <t xml:space="preserve">Total Assets (in Mio Euro)</t>
  </si>
  <si>
    <t xml:space="preserve">fields necessary to fill out</t>
  </si>
  <si>
    <t xml:space="preserve">these field contains a comment on the necesarry information for cells to be filled out or on the weighting in general</t>
  </si>
  <si>
    <t xml:space="preserve">STAKEHOLDER                                                    BERÜHRUNGSGGRUPPE</t>
  </si>
  <si>
    <t xml:space="preserve">Gesamt-Ausgaben an Lieferanten / total expenditures on the supply chain</t>
  </si>
  <si>
    <t xml:space="preserve">A: SUPPLIERS</t>
  </si>
  <si>
    <t xml:space="preserve">NACE</t>
  </si>
  <si>
    <t xml:space="preserve">Industry</t>
  </si>
  <si>
    <t xml:space="preserve">Product / Services Description</t>
  </si>
  <si>
    <t xml:space="preserve">Region</t>
  </si>
  <si>
    <t xml:space="preserve">Expenditures</t>
  </si>
  <si>
    <t xml:space="preserve">Rest</t>
  </si>
  <si>
    <t xml:space="preserve">profit </t>
  </si>
  <si>
    <t xml:space="preserve">B: INVESTORS</t>
  </si>
  <si>
    <t xml:space="preserve">profit in % of total Sales </t>
  </si>
  <si>
    <t xml:space="preserve">costs of finance</t>
  </si>
  <si>
    <t xml:space="preserve">&lt;-- (zugänge anlageverm.+financial assets)/total assets</t>
  </si>
  <si>
    <t xml:space="preserve">finance income</t>
  </si>
  <si>
    <t xml:space="preserve">&lt;-- ratio: sales/assets</t>
  </si>
  <si>
    <t xml:space="preserve">total assets</t>
  </si>
  <si>
    <t xml:space="preserve">"zugänge zum anlagevermögen"</t>
  </si>
  <si>
    <t xml:space="preserve">"invested money"</t>
  </si>
  <si>
    <t xml:space="preserve">employee expenditures</t>
  </si>
  <si>
    <t xml:space="preserve">C: EMPLOYEES</t>
  </si>
  <si>
    <t xml:space="preserve">number of FTE </t>
  </si>
  <si>
    <t xml:space="preserve">% employees  in </t>
  </si>
  <si>
    <t xml:space="preserve">% employees in </t>
  </si>
  <si>
    <t xml:space="preserve">potential commuting impact</t>
  </si>
  <si>
    <t xml:space="preserve">existence of a company canteen</t>
  </si>
  <si>
    <t xml:space="preserve">total sales</t>
  </si>
  <si>
    <t xml:space="preserve">D: CUSTOMERS</t>
  </si>
  <si>
    <t xml:space="preserve">B2B / B2C</t>
  </si>
  <si>
    <t xml:space="preserve">industry</t>
  </si>
  <si>
    <t xml:space="preserve">% of total sales</t>
  </si>
  <si>
    <t xml:space="preserve">E: SOCIETY</t>
  </si>
  <si>
    <t xml:space="preserve">Company Size (EU definition)</t>
  </si>
  <si>
    <t xml:space="preserve">1) HUMAN DIGNITY</t>
  </si>
  <si>
    <t xml:space="preserve">2) COOPERATION AND SOLIDARITY</t>
  </si>
  <si>
    <t xml:space="preserve">5) DEMOCRATIC CO-DETERMINATION AND TRANSPARENCY</t>
  </si>
  <si>
    <t xml:space="preserve">Weighting Points</t>
  </si>
  <si>
    <t xml:space="preserve">Selected Weighting</t>
  </si>
  <si>
    <t xml:space="preserve">trifft nicht zu</t>
  </si>
  <si>
    <t xml:space="preserve">niedrig</t>
  </si>
  <si>
    <t xml:space="preserve">mittel</t>
  </si>
  <si>
    <t xml:space="preserve">hoch</t>
  </si>
  <si>
    <t xml:space="preserve">sehr hoch</t>
  </si>
  <si>
    <t xml:space="preserve">No data in company facts</t>
  </si>
  <si>
    <t xml:space="preserve">DIFFERENCE TO MATRIX 4.0 WEIGHTING</t>
  </si>
  <si>
    <t xml:space="preserve">-</t>
  </si>
  <si>
    <t xml:space="preserve">Version</t>
  </si>
  <si>
    <t xml:space="preserve">Changes</t>
  </si>
  <si>
    <t xml:space="preserve">5.02</t>
  </si>
  <si>
    <t xml:space="preserve">Spanish, Italian and English added</t>
  </si>
  <si>
    <t xml:space="preserve">5.03</t>
  </si>
  <si>
    <t xml:space="preserve">Change format of numbers so it works globally. There were some problems in Switzerland</t>
  </si>
  <si>
    <t xml:space="preserve">5.04</t>
  </si>
  <si>
    <t xml:space="preserve">Add possibility of changing the weighting by stakeholder (not only themes and aspects)</t>
  </si>
  <si>
    <t xml:space="preserve">5.05</t>
  </si>
  <si>
    <t xml:space="preserve">Update ITUC index and PPP index for weighting
Delete rounding in some formulas. The rounding should be visible but the number stays so that the calculations are not affected. Info added about the rounding.
French added</t>
  </si>
  <si>
    <t xml:space="preserve">Wrong formula while considering the size of the company for the weighting in B4, C4 and E4.
If there is no data in Company Facts, weighting is equally weighted.
Pink conditional formatting when "canteen" and "b2b/c" field in company facts is zero.
Improve editing of new languages (consistency in formulas is assured)</t>
  </si>
  <si>
    <t xml:space="preserve">INDUSTRY WEIGHTING - COMMON GOOD MATRIX</t>
  </si>
  <si>
    <t xml:space="preserve">INDUSTRY </t>
  </si>
  <si>
    <t xml:space="preserve">A1 -social risks in the Supply Chain</t>
  </si>
  <si>
    <t xml:space="preserve">A3 -ecological sustainability in the Supply Chain</t>
  </si>
  <si>
    <t xml:space="preserve">D3 - Ecological Design of products and services</t>
  </si>
  <si>
    <t xml:space="preserve">E3 -  Reduction of Environmental Impact</t>
  </si>
  <si>
    <t xml:space="preserve">E4 - Social transparency and co-
determination</t>
  </si>
  <si>
    <t xml:space="preserve">A3 - Ecologicla Supply Chain Risk</t>
  </si>
  <si>
    <t xml:space="preserve">(based UN International Standard Industrial Classification of All Economic Activities, Rev.4 -http://unstats.un.org/unsd/cr/registry/regcst.asp?Cl=27)</t>
  </si>
  <si>
    <t xml:space="preserve">weighting</t>
  </si>
  <si>
    <t xml:space="preserve">argumentation: based on the social risks in the industry</t>
  </si>
  <si>
    <t xml:space="preserve">argumentation: based on ecological impact on the planterary boundaries in the supply cahin (studies and the use of quantitative models - e.g. ecological footprint - will be applied herefor)</t>
  </si>
  <si>
    <t xml:space="preserve">argumentation: based on the products / service impact on the planterary boundaries in the use phase (studies and the use of quantitative models - e.g. ecological footprint - will be applied herefor)</t>
  </si>
  <si>
    <t xml:space="preserve">argumentation: based on the sectors direct impact in the production phase on the planterary boundaries (studies and the use of quantitative models will be applied herefor); e.g. sehr hoch: The sector has a major impact of various planetary boundaries</t>
  </si>
  <si>
    <t xml:space="preserve">argumentation: the weighting is depending on the impact the industry has particularly on the adjacent environment
</t>
  </si>
  <si>
    <t xml:space="preserve">argumentation: based on the sectors direct impact in the production phase on the planterary boundaries (studies and the use of quantitative models will be applied herefor)
sehr hoch: The sector has a major impact of various planetary boundaries</t>
  </si>
  <si>
    <t xml:space="preserve">A </t>
  </si>
  <si>
    <t xml:space="preserve">ist E3?</t>
  </si>
  <si>
    <t xml:space="preserve">the main impacts are in the production phase</t>
  </si>
  <si>
    <t xml:space="preserve">major direct impact on various planetary boundaries in the production (climate change, N/P-cycle, biodiversity, land-use-change) </t>
  </si>
  <si>
    <t xml:space="preserve">B </t>
  </si>
  <si>
    <t xml:space="preserve">major impact on eco-systems</t>
  </si>
  <si>
    <t xml:space="preserve">C </t>
  </si>
  <si>
    <t xml:space="preserve">Please note: This industry is very heterogen. </t>
  </si>
  <si>
    <t xml:space="preserve">Ca</t>
  </si>
  <si>
    <t xml:space="preserve">Cb</t>
  </si>
  <si>
    <t xml:space="preserve">Cc</t>
  </si>
  <si>
    <t xml:space="preserve">Cd</t>
  </si>
  <si>
    <t xml:space="preserve">Ce</t>
  </si>
  <si>
    <t xml:space="preserve">residues for some pharmaproducts critical</t>
  </si>
  <si>
    <t xml:space="preserve">Cf</t>
  </si>
  <si>
    <t xml:space="preserve">Cg</t>
  </si>
  <si>
    <t xml:space="preserve">Ch</t>
  </si>
  <si>
    <t xml:space="preserve">D </t>
  </si>
  <si>
    <t xml:space="preserve">major impact on climate change</t>
  </si>
  <si>
    <t xml:space="preserve">E </t>
  </si>
  <si>
    <t xml:space="preserve">F </t>
  </si>
  <si>
    <t xml:space="preserve">major impact on climate change (see d3) and impacting land-use-change</t>
  </si>
  <si>
    <t xml:space="preserve">G </t>
  </si>
  <si>
    <t xml:space="preserve">H </t>
  </si>
  <si>
    <t xml:space="preserve">I </t>
  </si>
  <si>
    <t xml:space="preserve">J </t>
  </si>
  <si>
    <t xml:space="preserve">K </t>
  </si>
  <si>
    <t xml:space="preserve">L </t>
  </si>
  <si>
    <t xml:space="preserve">M </t>
  </si>
  <si>
    <t xml:space="preserve">N </t>
  </si>
  <si>
    <t xml:space="preserve">O </t>
  </si>
  <si>
    <t xml:space="preserve">P </t>
  </si>
  <si>
    <t xml:space="preserve">Q </t>
  </si>
  <si>
    <t xml:space="preserve">R </t>
  </si>
  <si>
    <t xml:space="preserve">S </t>
  </si>
  <si>
    <t xml:space="preserve">T</t>
  </si>
  <si>
    <t xml:space="preserve">U </t>
  </si>
  <si>
    <t xml:space="preserve">Branche 1</t>
  </si>
  <si>
    <t xml:space="preserve">Branche 2</t>
  </si>
  <si>
    <t xml:space="preserve">Branche 3</t>
  </si>
  <si>
    <t xml:space="preserve">ÖKOLOGISCHE BRANCHENGEWICHTUNGEN</t>
  </si>
  <si>
    <t xml:space="preserve">SUPPLIERS AND EMPLOYEE WEIGHTING RATIO</t>
  </si>
  <si>
    <t xml:space="preserve">added value of suppliers (source: income statement)</t>
  </si>
  <si>
    <t xml:space="preserve">Splitted added value (source¿?)</t>
  </si>
  <si>
    <t xml:space="preserve">Country</t>
  </si>
  <si>
    <t xml:space="preserve">PPP index (source¿?)</t>
  </si>
  <si>
    <t xml:space="preserve">Added value adjusted</t>
  </si>
  <si>
    <t xml:space="preserve">Total</t>
  </si>
  <si>
    <t xml:space="preserve">%</t>
  </si>
  <si>
    <t xml:space="preserve">ITUC (average)</t>
  </si>
  <si>
    <t xml:space="preserve">nace</t>
  </si>
  <si>
    <t xml:space="preserve">ecol. Impact (A3)</t>
  </si>
  <si>
    <t xml:space="preserve">social impact (A1)</t>
  </si>
  <si>
    <t xml:space="preserve">Supplier 1</t>
  </si>
  <si>
    <t xml:space="preserve">Supplier 2</t>
  </si>
  <si>
    <t xml:space="preserve">Supplier 3</t>
  </si>
  <si>
    <t xml:space="preserve">Supplier 4</t>
  </si>
  <si>
    <t xml:space="preserve">Supplier 5</t>
  </si>
  <si>
    <t xml:space="preserve">Rest of suppliers</t>
  </si>
  <si>
    <t xml:space="preserve">Supply Chain Gewichtung</t>
  </si>
  <si>
    <t xml:space="preserve">Workers</t>
  </si>
  <si>
    <t xml:space="preserve">Please note that the boxes with a red frame have to be filled out. </t>
  </si>
  <si>
    <t xml:space="preserve">Purchasing Power Parity Tables</t>
  </si>
  <si>
    <t xml:space="preserve">Data Source</t>
  </si>
  <si>
    <t xml:space="preserve">Worldbank Data</t>
  </si>
  <si>
    <t xml:space="preserve">Last Updated Date</t>
  </si>
  <si>
    <t xml:space="preserve">2_2018</t>
  </si>
  <si>
    <t xml:space="preserve">http://data.worldbank.org/indicator/NY.GDP.MKTP.PP.CD</t>
  </si>
  <si>
    <t xml:space="preserve">Country Code</t>
  </si>
  <si>
    <t xml:space="preserve">Country Name</t>
  </si>
  <si>
    <t xml:space="preserve">PPP Factor</t>
  </si>
  <si>
    <t xml:space="preserve">ITUC</t>
  </si>
  <si>
    <t xml:space="preserve">code</t>
  </si>
  <si>
    <t xml:space="preserve">Aruba</t>
  </si>
  <si>
    <t xml:space="preserve">Americas</t>
  </si>
  <si>
    <t xml:space="preserve">est</t>
  </si>
  <si>
    <t xml:space="preserve">ABW</t>
  </si>
  <si>
    <t xml:space="preserve">Afghanistan</t>
  </si>
  <si>
    <t xml:space="preserve">Asia</t>
  </si>
  <si>
    <t xml:space="preserve">AFG</t>
  </si>
  <si>
    <t xml:space="preserve">Angola</t>
  </si>
  <si>
    <t xml:space="preserve">Africa</t>
  </si>
  <si>
    <t xml:space="preserve">AGO</t>
  </si>
  <si>
    <t xml:space="preserve">Albania</t>
  </si>
  <si>
    <t xml:space="preserve">Europe</t>
  </si>
  <si>
    <t xml:space="preserve">ALB</t>
  </si>
  <si>
    <t xml:space="preserve">Andorra</t>
  </si>
  <si>
    <t xml:space="preserve">AND</t>
  </si>
  <si>
    <t xml:space="preserve">United Arab Emirates</t>
  </si>
  <si>
    <t xml:space="preserve">ARE</t>
  </si>
  <si>
    <t xml:space="preserve">Argentina</t>
  </si>
  <si>
    <t xml:space="preserve">ARG</t>
  </si>
  <si>
    <t xml:space="preserve">Armenia</t>
  </si>
  <si>
    <t xml:space="preserve">ARM</t>
  </si>
  <si>
    <t xml:space="preserve">American Samoa</t>
  </si>
  <si>
    <t xml:space="preserve">Oceania</t>
  </si>
  <si>
    <t xml:space="preserve">ASM</t>
  </si>
  <si>
    <t xml:space="preserve">Antigua and Barbuda</t>
  </si>
  <si>
    <t xml:space="preserve">ATG</t>
  </si>
  <si>
    <t xml:space="preserve">Australia</t>
  </si>
  <si>
    <t xml:space="preserve">AUS</t>
  </si>
  <si>
    <t xml:space="preserve">Austria</t>
  </si>
  <si>
    <t xml:space="preserve">AUT</t>
  </si>
  <si>
    <t xml:space="preserve">Azerbaijan</t>
  </si>
  <si>
    <t xml:space="preserve">AZE</t>
  </si>
  <si>
    <t xml:space="preserve">Burundi</t>
  </si>
  <si>
    <t xml:space="preserve">BDI</t>
  </si>
  <si>
    <t xml:space="preserve">Belgium</t>
  </si>
  <si>
    <t xml:space="preserve">BEL</t>
  </si>
  <si>
    <t xml:space="preserve">Benin</t>
  </si>
  <si>
    <t xml:space="preserve">BEN</t>
  </si>
  <si>
    <t xml:space="preserve">Burkina Faso</t>
  </si>
  <si>
    <t xml:space="preserve">BFA</t>
  </si>
  <si>
    <t xml:space="preserve">Bangladesh</t>
  </si>
  <si>
    <t xml:space="preserve">BGD</t>
  </si>
  <si>
    <t xml:space="preserve">Bulgaria</t>
  </si>
  <si>
    <t xml:space="preserve">BGR</t>
  </si>
  <si>
    <t xml:space="preserve">Bahrain</t>
  </si>
  <si>
    <t xml:space="preserve">BHR</t>
  </si>
  <si>
    <t xml:space="preserve">Bahamas, The</t>
  </si>
  <si>
    <t xml:space="preserve">BHS</t>
  </si>
  <si>
    <t xml:space="preserve">Bosnia and Herzegovina</t>
  </si>
  <si>
    <t xml:space="preserve">BIH</t>
  </si>
  <si>
    <t xml:space="preserve">Belarus</t>
  </si>
  <si>
    <t xml:space="preserve">BLR</t>
  </si>
  <si>
    <t xml:space="preserve">Belize</t>
  </si>
  <si>
    <t xml:space="preserve">BLZ</t>
  </si>
  <si>
    <t xml:space="preserve">Bermuda</t>
  </si>
  <si>
    <t xml:space="preserve">BMU</t>
  </si>
  <si>
    <t xml:space="preserve">Bolivia</t>
  </si>
  <si>
    <t xml:space="preserve">BOL</t>
  </si>
  <si>
    <t xml:space="preserve">Brazil</t>
  </si>
  <si>
    <t xml:space="preserve">BRA</t>
  </si>
  <si>
    <t xml:space="preserve">Barbados</t>
  </si>
  <si>
    <t xml:space="preserve">BRB</t>
  </si>
  <si>
    <t xml:space="preserve">Brunei Darussalam</t>
  </si>
  <si>
    <t xml:space="preserve">BRN</t>
  </si>
  <si>
    <t xml:space="preserve">Bhutan</t>
  </si>
  <si>
    <t xml:space="preserve">BTN</t>
  </si>
  <si>
    <t xml:space="preserve">Botswana</t>
  </si>
  <si>
    <t xml:space="preserve">BWA</t>
  </si>
  <si>
    <t xml:space="preserve">Central African Republic</t>
  </si>
  <si>
    <t xml:space="preserve">CAF</t>
  </si>
  <si>
    <t xml:space="preserve">Canada</t>
  </si>
  <si>
    <t xml:space="preserve">CAN</t>
  </si>
  <si>
    <t xml:space="preserve">Switzerland</t>
  </si>
  <si>
    <t xml:space="preserve">CHE</t>
  </si>
  <si>
    <t xml:space="preserve">Chile</t>
  </si>
  <si>
    <t xml:space="preserve">CHL</t>
  </si>
  <si>
    <t xml:space="preserve">China</t>
  </si>
  <si>
    <t xml:space="preserve">CHN</t>
  </si>
  <si>
    <t xml:space="preserve">Cote d'Ivoire</t>
  </si>
  <si>
    <t xml:space="preserve">CIV</t>
  </si>
  <si>
    <t xml:space="preserve">Cameroon</t>
  </si>
  <si>
    <t xml:space="preserve">CMR</t>
  </si>
  <si>
    <t xml:space="preserve">Congo, Dem. Rep.</t>
  </si>
  <si>
    <t xml:space="preserve">COD</t>
  </si>
  <si>
    <t xml:space="preserve">Congo, Rep.</t>
  </si>
  <si>
    <t xml:space="preserve">COG</t>
  </si>
  <si>
    <t xml:space="preserve">Colombia</t>
  </si>
  <si>
    <t xml:space="preserve">COL</t>
  </si>
  <si>
    <t xml:space="preserve">Comoros</t>
  </si>
  <si>
    <t xml:space="preserve">COM</t>
  </si>
  <si>
    <t xml:space="preserve">Cabo Verde</t>
  </si>
  <si>
    <t xml:space="preserve">CPV</t>
  </si>
  <si>
    <t xml:space="preserve">Costa Rica</t>
  </si>
  <si>
    <t xml:space="preserve">CRI</t>
  </si>
  <si>
    <t xml:space="preserve">Cuba</t>
  </si>
  <si>
    <t xml:space="preserve">CUB</t>
  </si>
  <si>
    <t xml:space="preserve">Curacao</t>
  </si>
  <si>
    <t xml:space="preserve">CUW</t>
  </si>
  <si>
    <t xml:space="preserve">Cayman Islands</t>
  </si>
  <si>
    <t xml:space="preserve">CYM</t>
  </si>
  <si>
    <t xml:space="preserve">Cyprus</t>
  </si>
  <si>
    <t xml:space="preserve">CYP</t>
  </si>
  <si>
    <t xml:space="preserve">Czech Republic</t>
  </si>
  <si>
    <t xml:space="preserve">CZE</t>
  </si>
  <si>
    <t xml:space="preserve">Germany</t>
  </si>
  <si>
    <t xml:space="preserve">DEU</t>
  </si>
  <si>
    <t xml:space="preserve">Djibouti</t>
  </si>
  <si>
    <t xml:space="preserve">DJI</t>
  </si>
  <si>
    <t xml:space="preserve">Dominica</t>
  </si>
  <si>
    <t xml:space="preserve">DMA</t>
  </si>
  <si>
    <t xml:space="preserve">Denmark</t>
  </si>
  <si>
    <t xml:space="preserve">DNK</t>
  </si>
  <si>
    <t xml:space="preserve">Dominican Republic</t>
  </si>
  <si>
    <t xml:space="preserve">DOM</t>
  </si>
  <si>
    <t xml:space="preserve">Algeria</t>
  </si>
  <si>
    <t xml:space="preserve">DZA</t>
  </si>
  <si>
    <t xml:space="preserve">Ecuador</t>
  </si>
  <si>
    <t xml:space="preserve">ECU</t>
  </si>
  <si>
    <t xml:space="preserve">Egypt, Arab Rep.</t>
  </si>
  <si>
    <t xml:space="preserve">EGY</t>
  </si>
  <si>
    <t xml:space="preserve">Eritrea</t>
  </si>
  <si>
    <t xml:space="preserve">ERI</t>
  </si>
  <si>
    <t xml:space="preserve">Spain</t>
  </si>
  <si>
    <t xml:space="preserve">ESP</t>
  </si>
  <si>
    <t xml:space="preserve">Estonia</t>
  </si>
  <si>
    <t xml:space="preserve">EST</t>
  </si>
  <si>
    <t xml:space="preserve">Ethiopia</t>
  </si>
  <si>
    <t xml:space="preserve">ETH</t>
  </si>
  <si>
    <t xml:space="preserve">Finland</t>
  </si>
  <si>
    <t xml:space="preserve">FIN</t>
  </si>
  <si>
    <t xml:space="preserve">Fiji</t>
  </si>
  <si>
    <t xml:space="preserve">FJI</t>
  </si>
  <si>
    <t xml:space="preserve">France</t>
  </si>
  <si>
    <t xml:space="preserve">FRA</t>
  </si>
  <si>
    <t xml:space="preserve">Faroe Islands</t>
  </si>
  <si>
    <t xml:space="preserve">FRO</t>
  </si>
  <si>
    <t xml:space="preserve">Micronesia, Fed. Sts.</t>
  </si>
  <si>
    <t xml:space="preserve">FSM</t>
  </si>
  <si>
    <t xml:space="preserve">Gabon</t>
  </si>
  <si>
    <t xml:space="preserve">GAB</t>
  </si>
  <si>
    <t xml:space="preserve">United Kingdom</t>
  </si>
  <si>
    <t xml:space="preserve">GBR</t>
  </si>
  <si>
    <t xml:space="preserve">Georgia</t>
  </si>
  <si>
    <t xml:space="preserve">GEO</t>
  </si>
  <si>
    <t xml:space="preserve">Ghana</t>
  </si>
  <si>
    <t xml:space="preserve">GHA</t>
  </si>
  <si>
    <t xml:space="preserve">Gibraltar</t>
  </si>
  <si>
    <t xml:space="preserve">GIB</t>
  </si>
  <si>
    <t xml:space="preserve">Guinea</t>
  </si>
  <si>
    <t xml:space="preserve">GIN</t>
  </si>
  <si>
    <t xml:space="preserve">Gambia, The</t>
  </si>
  <si>
    <t xml:space="preserve">GMB</t>
  </si>
  <si>
    <t xml:space="preserve">Guinea-Bissau</t>
  </si>
  <si>
    <t xml:space="preserve">GNB</t>
  </si>
  <si>
    <t xml:space="preserve">Equatorial Guinea</t>
  </si>
  <si>
    <t xml:space="preserve">GNQ</t>
  </si>
  <si>
    <t xml:space="preserve">Greece</t>
  </si>
  <si>
    <t xml:space="preserve">GRC</t>
  </si>
  <si>
    <t xml:space="preserve">Grenada</t>
  </si>
  <si>
    <t xml:space="preserve">GRD</t>
  </si>
  <si>
    <t xml:space="preserve">Greenland</t>
  </si>
  <si>
    <t xml:space="preserve">GRL</t>
  </si>
  <si>
    <t xml:space="preserve">Guatemala</t>
  </si>
  <si>
    <t xml:space="preserve">GTM</t>
  </si>
  <si>
    <t xml:space="preserve">Guam</t>
  </si>
  <si>
    <t xml:space="preserve">GUM</t>
  </si>
  <si>
    <t xml:space="preserve">Guyana</t>
  </si>
  <si>
    <t xml:space="preserve">GUY</t>
  </si>
  <si>
    <t xml:space="preserve">Hong Kong SAR, China</t>
  </si>
  <si>
    <t xml:space="preserve">HKG</t>
  </si>
  <si>
    <t xml:space="preserve">Honduras</t>
  </si>
  <si>
    <t xml:space="preserve">HND</t>
  </si>
  <si>
    <t xml:space="preserve">Croatia</t>
  </si>
  <si>
    <t xml:space="preserve">HRV</t>
  </si>
  <si>
    <t xml:space="preserve">Haiti</t>
  </si>
  <si>
    <t xml:space="preserve">HTI</t>
  </si>
  <si>
    <t xml:space="preserve">Hungary</t>
  </si>
  <si>
    <t xml:space="preserve">HUN</t>
  </si>
  <si>
    <t xml:space="preserve">Indonesia</t>
  </si>
  <si>
    <t xml:space="preserve">IDN</t>
  </si>
  <si>
    <t xml:space="preserve">Isle of Man</t>
  </si>
  <si>
    <t xml:space="preserve">IMN</t>
  </si>
  <si>
    <t xml:space="preserve">India</t>
  </si>
  <si>
    <t xml:space="preserve">IND</t>
  </si>
  <si>
    <t xml:space="preserve">Ireland</t>
  </si>
  <si>
    <t xml:space="preserve">IRL</t>
  </si>
  <si>
    <t xml:space="preserve">Iran, Islamic Rep.</t>
  </si>
  <si>
    <t xml:space="preserve">IRN</t>
  </si>
  <si>
    <t xml:space="preserve">Iraq</t>
  </si>
  <si>
    <t xml:space="preserve">IRQ</t>
  </si>
  <si>
    <t xml:space="preserve">Iceland</t>
  </si>
  <si>
    <t xml:space="preserve">ISL</t>
  </si>
  <si>
    <t xml:space="preserve">Israel</t>
  </si>
  <si>
    <t xml:space="preserve">ISR</t>
  </si>
  <si>
    <t xml:space="preserve">Italy</t>
  </si>
  <si>
    <t xml:space="preserve">ITA</t>
  </si>
  <si>
    <t xml:space="preserve">Jamaica</t>
  </si>
  <si>
    <t xml:space="preserve">JAM</t>
  </si>
  <si>
    <t xml:space="preserve">Jordan</t>
  </si>
  <si>
    <t xml:space="preserve">JOR</t>
  </si>
  <si>
    <t xml:space="preserve">Japan</t>
  </si>
  <si>
    <t xml:space="preserve">JPN</t>
  </si>
  <si>
    <t xml:space="preserve">Kazakhstan</t>
  </si>
  <si>
    <t xml:space="preserve">KAZ</t>
  </si>
  <si>
    <t xml:space="preserve">Kenya</t>
  </si>
  <si>
    <t xml:space="preserve">KEN</t>
  </si>
  <si>
    <t xml:space="preserve">Kyrgyz Republic</t>
  </si>
  <si>
    <t xml:space="preserve">KGZ</t>
  </si>
  <si>
    <t xml:space="preserve">Cambodia</t>
  </si>
  <si>
    <t xml:space="preserve">KHM</t>
  </si>
  <si>
    <t xml:space="preserve">Kiribati</t>
  </si>
  <si>
    <t xml:space="preserve">KIR</t>
  </si>
  <si>
    <t xml:space="preserve">St. Kitts and Nevis</t>
  </si>
  <si>
    <t xml:space="preserve">KNA</t>
  </si>
  <si>
    <t xml:space="preserve">Korea, Rep.</t>
  </si>
  <si>
    <t xml:space="preserve">KOR</t>
  </si>
  <si>
    <t xml:space="preserve">Kuwait</t>
  </si>
  <si>
    <t xml:space="preserve">KWT</t>
  </si>
  <si>
    <t xml:space="preserve">Lao PDR</t>
  </si>
  <si>
    <t xml:space="preserve">LAO</t>
  </si>
  <si>
    <t xml:space="preserve">Lebanon</t>
  </si>
  <si>
    <t xml:space="preserve">LBN</t>
  </si>
  <si>
    <t xml:space="preserve">Liberia</t>
  </si>
  <si>
    <t xml:space="preserve">LBR</t>
  </si>
  <si>
    <t xml:space="preserve">Libya</t>
  </si>
  <si>
    <t xml:space="preserve">LBY</t>
  </si>
  <si>
    <t xml:space="preserve">St. Lucia</t>
  </si>
  <si>
    <t xml:space="preserve">LCA</t>
  </si>
  <si>
    <t xml:space="preserve">Liechtenstein</t>
  </si>
  <si>
    <t xml:space="preserve">LIE</t>
  </si>
  <si>
    <t xml:space="preserve">Sri Lanka</t>
  </si>
  <si>
    <t xml:space="preserve">LKA</t>
  </si>
  <si>
    <t xml:space="preserve">Lesotho</t>
  </si>
  <si>
    <t xml:space="preserve">LSO</t>
  </si>
  <si>
    <t xml:space="preserve">Lithuania</t>
  </si>
  <si>
    <t xml:space="preserve">LTU</t>
  </si>
  <si>
    <t xml:space="preserve">Luxembourg</t>
  </si>
  <si>
    <t xml:space="preserve">LUX</t>
  </si>
  <si>
    <t xml:space="preserve">Latvia</t>
  </si>
  <si>
    <t xml:space="preserve">LVA</t>
  </si>
  <si>
    <t xml:space="preserve">Macao SAR, China</t>
  </si>
  <si>
    <t xml:space="preserve">MAC</t>
  </si>
  <si>
    <t xml:space="preserve">St. Martin (French part)</t>
  </si>
  <si>
    <t xml:space="preserve">MAF</t>
  </si>
  <si>
    <t xml:space="preserve">Morocco</t>
  </si>
  <si>
    <t xml:space="preserve">MAR</t>
  </si>
  <si>
    <t xml:space="preserve">Monaco</t>
  </si>
  <si>
    <t xml:space="preserve">MCO</t>
  </si>
  <si>
    <t xml:space="preserve">Moldova</t>
  </si>
  <si>
    <t xml:space="preserve">MDA</t>
  </si>
  <si>
    <t xml:space="preserve">Madagascar</t>
  </si>
  <si>
    <t xml:space="preserve">MDG</t>
  </si>
  <si>
    <t xml:space="preserve">Maldives</t>
  </si>
  <si>
    <t xml:space="preserve">MDV</t>
  </si>
  <si>
    <t xml:space="preserve">Mexico</t>
  </si>
  <si>
    <t xml:space="preserve">MEX</t>
  </si>
  <si>
    <t xml:space="preserve">Marshall Islands</t>
  </si>
  <si>
    <t xml:space="preserve">MHL</t>
  </si>
  <si>
    <t xml:space="preserve">Macedonia, FYR</t>
  </si>
  <si>
    <t xml:space="preserve">MKD</t>
  </si>
  <si>
    <t xml:space="preserve">Mali</t>
  </si>
  <si>
    <t xml:space="preserve">MLI</t>
  </si>
  <si>
    <t xml:space="preserve">Malta</t>
  </si>
  <si>
    <t xml:space="preserve">MLT</t>
  </si>
  <si>
    <t xml:space="preserve">Myanmar</t>
  </si>
  <si>
    <t xml:space="preserve">MMR</t>
  </si>
  <si>
    <t xml:space="preserve">Montenegro</t>
  </si>
  <si>
    <t xml:space="preserve">MNE</t>
  </si>
  <si>
    <t xml:space="preserve">Mongolia</t>
  </si>
  <si>
    <t xml:space="preserve">MNG</t>
  </si>
  <si>
    <t xml:space="preserve">Northern Mariana Islands</t>
  </si>
  <si>
    <t xml:space="preserve">MNP</t>
  </si>
  <si>
    <t xml:space="preserve">Mozambique</t>
  </si>
  <si>
    <t xml:space="preserve">MOZ</t>
  </si>
  <si>
    <t xml:space="preserve">Mauritania</t>
  </si>
  <si>
    <t xml:space="preserve">MRT</t>
  </si>
  <si>
    <t xml:space="preserve">Mauritius</t>
  </si>
  <si>
    <t xml:space="preserve">MUS</t>
  </si>
  <si>
    <t xml:space="preserve">Malawi</t>
  </si>
  <si>
    <t xml:space="preserve">MWI</t>
  </si>
  <si>
    <t xml:space="preserve">Malaysia</t>
  </si>
  <si>
    <t xml:space="preserve">MYS</t>
  </si>
  <si>
    <t xml:space="preserve">Namibia</t>
  </si>
  <si>
    <t xml:space="preserve">NAM</t>
  </si>
  <si>
    <t xml:space="preserve">New Caledonia</t>
  </si>
  <si>
    <t xml:space="preserve">NCL</t>
  </si>
  <si>
    <t xml:space="preserve">Niger</t>
  </si>
  <si>
    <t xml:space="preserve">NER</t>
  </si>
  <si>
    <t xml:space="preserve">Nigeria</t>
  </si>
  <si>
    <t xml:space="preserve">NGA</t>
  </si>
  <si>
    <t xml:space="preserve">Nicaragua</t>
  </si>
  <si>
    <t xml:space="preserve">NIC</t>
  </si>
  <si>
    <t xml:space="preserve">Netherlands</t>
  </si>
  <si>
    <t xml:space="preserve">NLD</t>
  </si>
  <si>
    <t xml:space="preserve">Norway</t>
  </si>
  <si>
    <t xml:space="preserve">NOR</t>
  </si>
  <si>
    <t xml:space="preserve">Nepal</t>
  </si>
  <si>
    <t xml:space="preserve">NPL</t>
  </si>
  <si>
    <t xml:space="preserve">Nauru</t>
  </si>
  <si>
    <t xml:space="preserve">NRU</t>
  </si>
  <si>
    <t xml:space="preserve">New Zealand</t>
  </si>
  <si>
    <t xml:space="preserve">NZL</t>
  </si>
  <si>
    <t xml:space="preserve">Oman</t>
  </si>
  <si>
    <t xml:space="preserve">OMN</t>
  </si>
  <si>
    <t xml:space="preserve">Pakistan</t>
  </si>
  <si>
    <t xml:space="preserve">PAK</t>
  </si>
  <si>
    <t xml:space="preserve">Panama</t>
  </si>
  <si>
    <t xml:space="preserve">PAN</t>
  </si>
  <si>
    <t xml:space="preserve">Peru</t>
  </si>
  <si>
    <t xml:space="preserve">PER</t>
  </si>
  <si>
    <t xml:space="preserve">Philippines</t>
  </si>
  <si>
    <t xml:space="preserve">PHL</t>
  </si>
  <si>
    <t xml:space="preserve">Palau</t>
  </si>
  <si>
    <t xml:space="preserve">PLW</t>
  </si>
  <si>
    <t xml:space="preserve">Papua New Guinea</t>
  </si>
  <si>
    <t xml:space="preserve">PNG</t>
  </si>
  <si>
    <t xml:space="preserve">Poland</t>
  </si>
  <si>
    <t xml:space="preserve">POL</t>
  </si>
  <si>
    <t xml:space="preserve">Puerto Rico</t>
  </si>
  <si>
    <t xml:space="preserve">PRI</t>
  </si>
  <si>
    <t xml:space="preserve">Korea, Dem. People’s Rep.</t>
  </si>
  <si>
    <t xml:space="preserve">PRK</t>
  </si>
  <si>
    <t xml:space="preserve">Portugal</t>
  </si>
  <si>
    <t xml:space="preserve">PRT</t>
  </si>
  <si>
    <t xml:space="preserve">Paraguay</t>
  </si>
  <si>
    <t xml:space="preserve">PRY</t>
  </si>
  <si>
    <t xml:space="preserve">West Bank and Gaza</t>
  </si>
  <si>
    <t xml:space="preserve">PSE</t>
  </si>
  <si>
    <t xml:space="preserve">French Polynesia</t>
  </si>
  <si>
    <t xml:space="preserve">PYF</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</si>
  <si>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</si>
  <si>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</si>
  <si>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</si>
  <si>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</si>
  <si>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</si>
  <si>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</si>
  <si>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</si>
  <si>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</si>
  <si>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Saudi Arabia</t>
  </si>
  <si>
    <t xml:space="preserve">SAU</t>
  </si>
  <si>
    <t xml:space="preserve">Sudan</t>
  </si>
  <si>
    <t xml:space="preserve">SDN</t>
  </si>
  <si>
    <t xml:space="preserve">Senegal</t>
  </si>
  <si>
    <t xml:space="preserve">SEN</t>
  </si>
  <si>
    <t xml:space="preserve">Singapore</t>
  </si>
  <si>
    <t xml:space="preserve">SGP</t>
  </si>
  <si>
    <t xml:space="preserve">Solomon Islands</t>
  </si>
  <si>
    <t xml:space="preserve">SLB</t>
  </si>
  <si>
    <t xml:space="preserve">Sierra Leone</t>
  </si>
  <si>
    <t xml:space="preserve">SLE</t>
  </si>
  <si>
    <t xml:space="preserve">El Salvador</t>
  </si>
  <si>
    <t xml:space="preserve">SLV</t>
  </si>
  <si>
    <t xml:space="preserve">San Marino</t>
  </si>
  <si>
    <t xml:space="preserve">SMR</t>
  </si>
  <si>
    <t xml:space="preserve">Somalia</t>
  </si>
  <si>
    <t xml:space="preserve">SOM</t>
  </si>
  <si>
    <t xml:space="preserve">Serbia</t>
  </si>
  <si>
    <t xml:space="preserve">SRB</t>
  </si>
  <si>
    <t xml:space="preserve">South Sudan</t>
  </si>
  <si>
    <t xml:space="preserve">SSD</t>
  </si>
  <si>
    <t xml:space="preserve">Sao Tome and Principe</t>
  </si>
  <si>
    <t xml:space="preserve">STP</t>
  </si>
  <si>
    <t xml:space="preserve">Suriname</t>
  </si>
  <si>
    <t xml:space="preserve">SUR</t>
  </si>
  <si>
    <t xml:space="preserve">Slovak Republic</t>
  </si>
  <si>
    <t xml:space="preserve">SVK</t>
  </si>
  <si>
    <t xml:space="preserve">Slovenia</t>
  </si>
  <si>
    <t xml:space="preserve">SVN</t>
  </si>
  <si>
    <t xml:space="preserve">Sweden</t>
  </si>
  <si>
    <t xml:space="preserve">SWE</t>
  </si>
  <si>
    <t xml:space="preserve">Swaziland</t>
  </si>
  <si>
    <t xml:space="preserve">SWZ</t>
  </si>
  <si>
    <t xml:space="preserve">Sint Maarten (Dutch part)</t>
  </si>
  <si>
    <t xml:space="preserve">SXM</t>
  </si>
  <si>
    <t xml:space="preserve">Seychelles</t>
  </si>
  <si>
    <t xml:space="preserve">SYC</t>
  </si>
  <si>
    <t xml:space="preserve">Syrian Arab Republic</t>
  </si>
  <si>
    <t xml:space="preserve">SYR</t>
  </si>
  <si>
    <t xml:space="preserve">Turks and Caicos Islands</t>
  </si>
  <si>
    <t xml:space="preserve">TCA</t>
  </si>
  <si>
    <t xml:space="preserve">Chad</t>
  </si>
  <si>
    <t xml:space="preserve">TCD</t>
  </si>
  <si>
    <t xml:space="preserve">Togo</t>
  </si>
  <si>
    <t xml:space="preserve">TGO</t>
  </si>
  <si>
    <t xml:space="preserve">Thailand</t>
  </si>
  <si>
    <t xml:space="preserve">THA</t>
  </si>
  <si>
    <t xml:space="preserve">Tajikistan</t>
  </si>
  <si>
    <t xml:space="preserve">TJK</t>
  </si>
  <si>
    <t xml:space="preserve">Turkmenistan</t>
  </si>
  <si>
    <t xml:space="preserve">TKM</t>
  </si>
  <si>
    <t xml:space="preserve">Timor-Leste</t>
  </si>
  <si>
    <t xml:space="preserve">TLS</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</si>
  <si>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</si>
  <si>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</si>
  <si>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</si>
  <si>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</si>
  <si>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</si>
  <si>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</si>
  <si>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</si>
  <si>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</si>
  <si>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Tuvalu</t>
  </si>
  <si>
    <t xml:space="preserve">TUV</t>
  </si>
  <si>
    <t xml:space="preserve">Tanzania</t>
  </si>
  <si>
    <t xml:space="preserve">TZA</t>
  </si>
  <si>
    <t xml:space="preserve">Uganda</t>
  </si>
  <si>
    <t xml:space="preserve">UGA</t>
  </si>
  <si>
    <t xml:space="preserve">Ukraine</t>
  </si>
  <si>
    <t xml:space="preserve">UKR</t>
  </si>
  <si>
    <t xml:space="preserve">Uruguay</t>
  </si>
  <si>
    <t xml:space="preserve">URY</t>
  </si>
  <si>
    <t xml:space="preserve">United States</t>
  </si>
  <si>
    <t xml:space="preserve">USA</t>
  </si>
  <si>
    <t xml:space="preserve">Uzbekistan</t>
  </si>
  <si>
    <t xml:space="preserve">UZB</t>
  </si>
  <si>
    <t xml:space="preserve">St. Vincent and the Grenadines</t>
  </si>
  <si>
    <t xml:space="preserve">VCT</t>
  </si>
  <si>
    <t xml:space="preserve">Venezuela, RB</t>
  </si>
  <si>
    <t xml:space="preserve">VEN</t>
  </si>
  <si>
    <t xml:space="preserve">British Virgin Islands</t>
  </si>
  <si>
    <t xml:space="preserve">VGB</t>
  </si>
  <si>
    <t xml:space="preserve">Virgin Islands (U.S.)</t>
  </si>
  <si>
    <t xml:space="preserve">VIR</t>
  </si>
  <si>
    <t xml:space="preserve">Vietnam</t>
  </si>
  <si>
    <t xml:space="preserve">VNM</t>
  </si>
  <si>
    <t xml:space="preserve">Vanuatu</t>
  </si>
  <si>
    <t xml:space="preserve">VUT</t>
  </si>
  <si>
    <t xml:space="preserve">Samoa</t>
  </si>
  <si>
    <t xml:space="preserve">WSM</t>
  </si>
  <si>
    <t xml:space="preserve">Kosovo</t>
  </si>
  <si>
    <t xml:space="preserve">XKX</t>
  </si>
  <si>
    <t xml:space="preserve">Yemen, Rep.</t>
  </si>
  <si>
    <t xml:space="preserve">YEM</t>
  </si>
  <si>
    <t xml:space="preserve">South Africa</t>
  </si>
  <si>
    <t xml:space="preserve">ZAF</t>
  </si>
  <si>
    <t xml:space="preserve">Zambia</t>
  </si>
  <si>
    <t xml:space="preserve">ZMB</t>
  </si>
  <si>
    <t xml:space="preserve">Zimbabwe</t>
  </si>
  <si>
    <t xml:space="preserve">ZWE</t>
  </si>
  <si>
    <t xml:space="preserve">Average Africa</t>
  </si>
  <si>
    <t xml:space="preserve">Average Americas</t>
  </si>
  <si>
    <t xml:space="preserve">Average Asia</t>
  </si>
  <si>
    <t xml:space="preserve">Average Europe</t>
  </si>
  <si>
    <t xml:space="preserve">Average Oceania</t>
  </si>
  <si>
    <t xml:space="preserve">World</t>
  </si>
  <si>
    <t xml:space="preserve">Select your language</t>
  </si>
  <si>
    <t xml:space="preserve">Deutsch</t>
  </si>
  <si>
    <t xml:space="preserve">Italiano</t>
  </si>
  <si>
    <t xml:space="preserve">Español</t>
  </si>
  <si>
    <t xml:space="preserve">Francais</t>
  </si>
  <si>
    <t xml:space="preserve">GEMEINWOHL-RECHNER</t>
  </si>
  <si>
    <t xml:space="preserve">Calcolatore del Bene Comune</t>
  </si>
  <si>
    <t xml:space="preserve">BALANCE SHEET CALCULATOR</t>
  </si>
  <si>
    <t xml:space="preserve">CALCULADORA DEL BIEN COMÚN</t>
  </si>
  <si>
    <t xml:space="preserve">Calculateur du Bilan pour le Bien Commun</t>
  </si>
  <si>
    <t xml:space="preserve">© GWÖ</t>
  </si>
  <si>
    <t xml:space="preserve">© Economia del Bene Comune</t>
  </si>
  <si>
    <t xml:space="preserve">© ECG</t>
  </si>
  <si>
    <t xml:space="preserve">© Economía del Bien Común</t>
  </si>
  <si>
    <t xml:space="preserve">© Economie pour le Bien Commun</t>
  </si>
  <si>
    <t xml:space="preserve">Versione</t>
  </si>
  <si>
    <t xml:space="preserve">Versión</t>
  </si>
  <si>
    <t xml:space="preserve">HERZLICH WILLKOMMEN!</t>
  </si>
  <si>
    <t xml:space="preserve">Benvenuto!</t>
  </si>
  <si>
    <t xml:space="preserve">WELCOME!</t>
  </si>
  <si>
    <t xml:space="preserve">¡Bienvenid@!</t>
  </si>
  <si>
    <t xml:space="preserve">Bienvenue!</t>
  </si>
  <si>
    <t xml:space="preserve">Dieses Tool dient zur Berechnung der Gemeinwohl-Punkte Ihres Unternehmens. Es ist eine Ergänzung zum Gemeinwohlbericht und muss gemeinsam mit diesem genutzt werden.  Wir wünschen gutes Gelingen!</t>
  </si>
  <si>
    <t xml:space="preserve">Può utilizzare questo strumento per calcolare i punti del bene comune della sua impresa. Serve quale completamento alla relazione del bene comune e deve essere utilizzato assieme a questo.
Le auguriamo buon divertimento in questa attività di calcolo!</t>
  </si>
  <si>
    <t xml:space="preserve">This tool is for calculating the overall Common Good Points for your company or organisation. It complements the Common Good Report and has to be used together with it. Have fun with your calculation!</t>
  </si>
  <si>
    <t xml:space="preserve">Esta herramienta sirve para calcular la puntuación de su empresa de acuerdo al balance del Bien Común. Esta hoja de cálculo es complementaria al informe del Bien Común y debe utilizarse por tanto conjuntamente. ¡Buena suerte!</t>
  </si>
  <si>
    <t xml:space="preserve">Cet outil sert à calculer le total des points de l'EBC pour votre entreprise ou organisation. Il complète le rapport de l'Economie pour le Bien Commun et doit être utiliser en lien avec le rapport. Bonne chance pour vos calculs !</t>
  </si>
  <si>
    <t xml:space="preserve">WIE SIE DEN BILANZ-RECHNER RICHTIG VERWENDEN:</t>
  </si>
  <si>
    <t xml:space="preserve">Come utilizzare correttamente il calcolatore del bilancio:</t>
  </si>
  <si>
    <t xml:space="preserve">HOW TO USE THE BALANCE SHEET CALCULATOR:</t>
  </si>
  <si>
    <t xml:space="preserve">Cómo utilizar la calculadora del Bien Común correctamente</t>
  </si>
  <si>
    <t xml:space="preserve">Comment utiliser le calculateur du bilan :</t>
  </si>
  <si>
    <t xml:space="preserve">1. Allgemeines</t>
  </si>
  <si>
    <t xml:space="preserve">1. Generale</t>
  </si>
  <si>
    <t xml:space="preserve">1. General</t>
  </si>
  <si>
    <t xml:space="preserve">1. Généralités</t>
  </si>
  <si>
    <t xml:space="preserve">Hier können Sie allgemeinen Angaben zu Ihrem Unternehmen machen.</t>
  </si>
  <si>
    <t xml:space="preserve">Qui può indicare tutte le informazioni e dati della sua impresa</t>
  </si>
  <si>
    <t xml:space="preserve">You can enter general information about your company or organisation in this section.</t>
  </si>
  <si>
    <t xml:space="preserve">En esta hoja puedes introducir información general sobre tu organización o empresa</t>
  </si>
  <si>
    <t xml:space="preserve">Vous pouvez renseigner des informations globales et générales sur votre entreprise ou organisation dans cette rubrique.</t>
  </si>
  <si>
    <t xml:space="preserve">Hier müssen alle geforderten Kenngrößen eingetragen werden, da diese für die Gewichtung der Themen essentiell sind. </t>
  </si>
  <si>
    <t xml:space="preserve">Qui devono essere inseriti tutti i parametri richiesti, poiché questi sono essenziali per la ponderazione degli argomenti.</t>
  </si>
  <si>
    <t xml:space="preserve">All fields in this section must be completed as they are essential for the weighting of each theme.</t>
  </si>
  <si>
    <t xml:space="preserve">En esta hoja debes introducir todos los datos requeridos, pues el cálculo de la ponderación depende de ellos</t>
  </si>
  <si>
    <t xml:space="preserve">Tous les champs dans cette rubrique, doivent être complétés, car ils sont essentiels pour la pondération de chaque sujet.</t>
  </si>
  <si>
    <t xml:space="preserve">Für jedes Thema (A1, B1, ...) kann eine bestimmte Anzahl an Gemeinwohl-Punkten erreicht werden. Um zu ermitteln, wie viele davon Ihr Unternehmen erhält, gehen Sie wie folgt vor:</t>
  </si>
  <si>
    <t xml:space="preserve">Per ogni tema (A1, B1, ...) può essere raggiunto un determinate valore di punteggio del bene comune. Per ricavare, che punteggio ottiene la Sua impresa proceda nel modo seguente:</t>
  </si>
  <si>
    <t xml:space="preserve">For each theme (A1, B1, ...) a certain maximum number of Common Good Points can be achieved. To evaluate how many points your company scores, follow these steps:</t>
  </si>
  <si>
    <t xml:space="preserve">Para cada tema (A1, B1, …) puede obtenerse una puntuación determinada. Para calcular cuál obtiene su empresa, siga los pasos siguientes:</t>
  </si>
  <si>
    <t xml:space="preserve">Pour chaque thème (A1, B1, …) un nombre maximum de Points pour le Bien Commun peuvent être atteints. Pour évaluer combien de points votre entreprise a cumulé, suivez ces étapes : </t>
  </si>
  <si>
    <t xml:space="preserve">Beschreiben Sie auf Basis des Arbeitsbuchs in wenigen Stichworten Ist-Zustand und Verbesserungspotenzial für die verschiedenen Aspekte (optional, ist für die Berechnung nicht unbedingt notwendig).</t>
  </si>
  <si>
    <t xml:space="preserve">Descrivi sulla base del libro di esercizi in poche parole chiave lo stato attuale e il potenziale di miglioramento per i diversi aspetti (facoltativo, non è assolutamente necessario per il calcolo).</t>
  </si>
  <si>
    <t xml:space="preserve">Describe the current status and potential for improvement for the various aspects under key headings. Use the workbook as a reference. (This is optional and not absolutely necessary for the calculation.)</t>
  </si>
  <si>
    <t xml:space="preserve">Describa en pocas palabras, de acuerdo al manual del Balance del Bien Común, cuál es el estado actual y el potencial de mejora para cada uno de los aspectos (opcional, no es necesario para el cálculo de la puntuación).</t>
  </si>
  <si>
    <t xml:space="preserve">Décrivez la situation actuelle et les évolutions potentielles pour améliorer les différents aspects des rubriques clés. Utilisez le guide de l'EBC comme référence. (Ceci est optionnel et pas indispensable pour le calcul.)</t>
  </si>
  <si>
    <t xml:space="preserve">Geben Sie - aufbauend auf diesen Beschreibungen - an, entsprechend welchem Skalenwert (0-10) Ihrer Meinung nach der jeweilige Aspekt erfüllt ist (Spalte "Erfüllungsgrad"). Anhaltspunkte zur Wahl des "richtigen" Skalenwerts finden Sie wiederum im Arbeitsbuch.</t>
  </si>
  <si>
    <t xml:space="preserve">In base a queste descrizioni, indica in base a quale valore di scala (0-10) pensi che il rispettivo aspetto sia soddisfatto (colonna "grado di realizzazione"). Troverete indizi per scegliere il valore di scala "corretto" nella cartella di lavoro.</t>
  </si>
  <si>
    <t xml:space="preserve">Based on these descriptions, indicate on a scale of 0-10 how far you consider the respective aspect is met (Achievement level). The criteria for choosing the correct value can be found in the Workbook.</t>
  </si>
  <si>
    <t xml:space="preserve">A partir de las descripciones previas, introduzca una puntuación de 0 a 10 que indique, según su opinión, el nivel de satisfacción de cada aspecto. Los niveles de referencia para la puntuación y otras indicaciones al respecto se encuentran en el manual.</t>
  </si>
  <si>
    <t xml:space="preserve">Basé sur ces descriptions, indiquez sur une échelle de 0 à 10, comment vous pensez avoir atteint les différents critères (niveau de réalisation). Le critère pour choisir la valeur correcte peut être trouvé dans le Guide.</t>
  </si>
  <si>
    <t xml:space="preserve">Für die Bewertung der Negativaspekte geben Sie Punktewerte entsprechend der Beschreibungen im Arbeitsbuch an. </t>
  </si>
  <si>
    <t xml:space="preserve">Per la valutazione degli aspetti negativi si indicano i valori dei punti in base alle descrizioni nel manuale.</t>
  </si>
  <si>
    <t xml:space="preserve">Negative aspects are allocated negative points according to the descriptions set out in the Workbook.</t>
  </si>
  <si>
    <t xml:space="preserve">Para aportar una puntuación a cada uno de los aspectos negativos utilice las indicaciones del manual.</t>
  </si>
  <si>
    <t xml:space="preserve">Les aspects négatifs donnent droit à des points négatifs, selon la description indiquée dans le Guide.</t>
  </si>
  <si>
    <t xml:space="preserve">Sie können, wenn es für ihr Unternehmen notwendig erscheint, in Abstimmung mit der AuditorIn die relativen Gewichtungen der einzelnen Aspekte (A1.1, A1.2, ...) verändern. In der Spalte "Gewichtung" ("Gew.") können Sie für jeden Aspekt Werte auswählen. Die Verteilung der möglichen Punkte auf die einzelnen Aspekte wird dann automatisch angepasst, sodass die Summe aller Aspekte eines Themas immer 100% ergibt.</t>
  </si>
  <si>
    <t xml:space="preserve">È possibile modificare le ponderazioni relative dei singoli aspetti (A1.1, A1.2, ...), se necessario per la propria azienda, in consultazione con l’auitor. Nella colonna "Peso", è possibile selezionare i valori per ogni aspetto. La distribuzione dei possibili punti sui singoli aspetti viene quindi regolata automaticamente, in modo che la somma di tutti gli aspetti di un argomento sia sempre al 100%.</t>
  </si>
  <si>
    <t xml:space="preserve">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t>
  </si>
  <si>
    <t xml:space="preserve">Puede cambiar las ponderaciones que realiza la hoja de cálculo por defecto, siempre y cuando la auditoría esté de acuerdo. En la columna “Ponderación” puede seleccionar una opción del catálogo. La distribución de los puntos de cada uno de los aspectos se realiza automáticamente, de tal manera que la suma de todos los aspectos del tema siempre tiene como resultado el 100%.</t>
  </si>
  <si>
    <t xml:space="preserve">Lorsque cela est jugé nécessaire pour votre entreprise et en accord avec les vérificateurs, vous pouvez modifier la pondération relative des aspects individuels (A1.1, A1.2, …). Dans la colonne pondération, vous pouvez sélectionner des valeurs pour chaque aspect. La distribution des points disponibles pour les aspects individuels, seront ensuite ajustés automatiquement, ainsi le total de tous les aspects d'un indicateur donnera 100%. </t>
  </si>
  <si>
    <t xml:space="preserve">Bei der Berechnung werden die Gesamtwerte pro Thema automatisch entsprechend der Angaben im Faktenblatt gewichtet und auf ganzzahlige Vielfache von 10% gerundet.</t>
  </si>
  <si>
    <t xml:space="preserve">Nel calcolo, i totali per argomento vengono automaticamente ponderati in base alla scheda informativa e arrotondati ai multipli interi del 10%.</t>
  </si>
  <si>
    <t xml:space="preserve">The calculation automatically weights each theme’s total value against the data in the ‘Company details’ section and rounds it to a whole-number multiple of 10%.</t>
  </si>
  <si>
    <t xml:space="preserve">Los valores introducidos son ponderados de acuerdo a los datos introducidos en la hoja 2. Company Facts. El resultado es redondeado y presentado como número entero.</t>
  </si>
  <si>
    <t xml:space="preserve">Le calcul pondère automatiquement chaque total de chaque thème comparé aux données contenues dans la rubrique : "les détails de l'entreprise" et l'arrondit à un multiple entier de 10%.</t>
  </si>
  <si>
    <t xml:space="preserve">Die "GW-Matrix" bietet einen tabellarischen Überblick über Ihr Ergebnis.</t>
  </si>
  <si>
    <t xml:space="preserve">La "matrice EBC" fornisce una panoramica tabellare del risultato.</t>
  </si>
  <si>
    <t xml:space="preserve">The ECG-Matrix displays your result in a table.</t>
  </si>
  <si>
    <t xml:space="preserve">La hoja “ECG-Matrix” muestra los resultados en una tabla resumen.</t>
  </si>
  <si>
    <t xml:space="preserve">La matrice EBC propose vos résultats sous forme de tableau</t>
  </si>
  <si>
    <t xml:space="preserve">Die "GW-Matrix" bietet einen tabellarischen Blick auf Ihr Ergebnis.</t>
  </si>
  <si>
    <t xml:space="preserve">La "matrice EBC" offre una vista tabellare del risultato.</t>
  </si>
  <si>
    <t xml:space="preserve">The ECG Matrix displays your result in a table.</t>
  </si>
  <si>
    <t xml:space="preserve">La hoja “ECG-Matrix” muestra los resultados de la puntuación presentando una vista general en forma de matriz (tabla).</t>
  </si>
  <si>
    <t xml:space="preserve">Der "Werte-Stern" zeigt schließlich Ihr Ergebnis nach Werten gegliedert in graphischer Form.</t>
  </si>
  <si>
    <t xml:space="preserve">La "stella dei valori" mostra infine il risultato in base a valori strutturati in forma grafica.</t>
  </si>
  <si>
    <t xml:space="preserve">The values-star displays your result arranged by value as a graphic.</t>
  </si>
  <si>
    <t xml:space="preserve">La hoja “Values” muestra un diagrama de araña en el que se muestran las puntuaciones según “valor” o columna de la matriz.</t>
  </si>
  <si>
    <t xml:space="preserve">L'étoile des valeurs affiche vos résultats en les disposant par valeur comme un graphique.</t>
  </si>
  <si>
    <t xml:space="preserve">Der "Gruppen-Stern" zeigt schließlich Ihr Ergebnis nach Berührungsgruppen gegliedert in graphischer Form.</t>
  </si>
  <si>
    <t xml:space="preserve">La "stella dei gruppi" mostra infine il risultato in base a gruppi d’interesse  strutturati in forma grafica.</t>
  </si>
  <si>
    <t xml:space="preserve">The group-star displays your result arranged by stakeholder as a graphic.</t>
  </si>
  <si>
    <t xml:space="preserve">La hoja “Stakeholders” muestra un diagrama de araña en el que se muestran las puntuaciones según “grupo de interés” o fila de la matriz.</t>
  </si>
  <si>
    <t xml:space="preserve">L' étoile groupe affiche vos résultats en les disposant par partie prenante comme un graphique.</t>
  </si>
  <si>
    <t xml:space="preserve">Der "Themen-Stern" zeigt schließlich Ihr Ergebnis in allen Themen in graphischer Form.</t>
  </si>
  <si>
    <t xml:space="preserve">La "stella dei temi" mostra finalmente il risultato in tutti i temi in forma grafica.</t>
  </si>
  <si>
    <t xml:space="preserve">The theme-star displays the result of your themes as a graphic.</t>
  </si>
  <si>
    <t xml:space="preserve">La hoja “Topics” muestra un diagrama de araña en el que se muestran las puntuaciones de cada tema.</t>
  </si>
  <si>
    <t xml:space="preserve">L'étoile des thèmes affiche les résultats de vos rubriques comme un graphique.</t>
  </si>
  <si>
    <t xml:space="preserve">Hier finden Sie eine Beschreibung der Gewichtungsmodelles. </t>
  </si>
  <si>
    <t xml:space="preserve">Qui potete trovare una descrizione del modello di ponderazione.</t>
  </si>
  <si>
    <t xml:space="preserve">This is a description of the weighting model.</t>
  </si>
  <si>
    <t xml:space="preserve">En la hoja “Descr. Weighting” se encuentra una descripción del método de ponderación.</t>
  </si>
  <si>
    <t xml:space="preserve">Ceci est une description du modèle de pondération</t>
  </si>
  <si>
    <t xml:space="preserve">Hier erfolgt die Berechnung wie die einzelnen Berührungsgruppen und Themen gewichtet werden.</t>
  </si>
  <si>
    <t xml:space="preserve">Qui il calcolo avviene come vengono pesati i singoli gruppi d’interesse ed i temi.</t>
  </si>
  <si>
    <t xml:space="preserve">This is where the calculation determines how the individual stakeholder groups and themes are weighted.</t>
  </si>
  <si>
    <t xml:space="preserve">En la hoja “Weighting” se realiza el cálculo para las ponderaciones de los grupos de interés y temas.</t>
  </si>
  <si>
    <t xml:space="preserve">Ceci montre la méthode de calcul qui détermine comment les thèmes et parties prenantes sont pondérés.</t>
  </si>
  <si>
    <t xml:space="preserve">Enthält Einschätzungen der Relevanz von Zulieferkette und ökologische Nachhaltigkeit für alle Branchen,, die für die Gewichtung herangezogen werden. </t>
  </si>
  <si>
    <t xml:space="preserve">Include stime della dell'importanza della rete dei fornitori e della sostenibilità ambientale per tutti i settori utilizzati per la ponderazione.</t>
  </si>
  <si>
    <t xml:space="preserve">This contains an assessment of the relevance of supply chains and environmental sustainability for all industry sectors, used in the weighting.</t>
  </si>
  <si>
    <t xml:space="preserve">Esta hoja contiene estimaciones sobre la relevancia de la cadena de suministro y sostenibilidad medioambiental de todos los sectores. Esta información se utiliza para realizar la ponderación.</t>
  </si>
  <si>
    <t xml:space="preserve">Il s’agit d’une évaluation de la pertinence des chaînes d’approvisionnement et de la durabilité environnementale pour tous les secteurs industriels, utilisés dans la pondération.</t>
  </si>
  <si>
    <t xml:space="preserve">Enthält Statistiken für Länder und Regionen, die für die Gewichtung herangezogen werden. </t>
  </si>
  <si>
    <t xml:space="preserve">Contiene statistiche per paesi e regioni utilizzati per la ponderazione.</t>
  </si>
  <si>
    <t xml:space="preserve">This contains statistics for countries and regions used in the weighting.</t>
  </si>
  <si>
    <t xml:space="preserve">Esta hoja contiene estadísticas de países y regiones que son utilizadas para realizar las ponderaciones.</t>
  </si>
  <si>
    <t xml:space="preserve">Il contient des statistiques pour les pays et régions utilisés dans la pondération.</t>
  </si>
  <si>
    <t xml:space="preserve">2. Fakten zum Unternehmen</t>
  </si>
  <si>
    <t xml:space="preserve">2. Fatti sull'impresa</t>
  </si>
  <si>
    <t xml:space="preserve">2. Company details</t>
  </si>
  <si>
    <t xml:space="preserve">2. Datos de la empresa</t>
  </si>
  <si>
    <t xml:space="preserve">2. Détails de l'entreprise</t>
  </si>
  <si>
    <t xml:space="preserve">3. Berechnung</t>
  </si>
  <si>
    <t xml:space="preserve">3. calcolo</t>
  </si>
  <si>
    <t xml:space="preserve">3. Scoring</t>
  </si>
  <si>
    <t xml:space="preserve">3. Cálculo</t>
  </si>
  <si>
    <t xml:space="preserve">3. Score</t>
  </si>
  <si>
    <t xml:space="preserve">4. GW-Matrix</t>
  </si>
  <si>
    <t xml:space="preserve">4. matrice del bene comune</t>
  </si>
  <si>
    <t xml:space="preserve">4. ECG Matrix</t>
  </si>
  <si>
    <t xml:space="preserve">4. Matriz EBC</t>
  </si>
  <si>
    <t xml:space="preserve">4. Matrice de l'EBC</t>
  </si>
  <si>
    <t xml:space="preserve">5. Werte-Stern</t>
  </si>
  <si>
    <t xml:space="preserve">5. valori stella</t>
  </si>
  <si>
    <t xml:space="preserve">5. Values star</t>
  </si>
  <si>
    <t xml:space="preserve">5. Diagrama valores</t>
  </si>
  <si>
    <t xml:space="preserve">5. Etoile de valeurs</t>
  </si>
  <si>
    <t xml:space="preserve">6. Gruppen-Stern</t>
  </si>
  <si>
    <t xml:space="preserve">6. gruppi stella</t>
  </si>
  <si>
    <t xml:space="preserve">6. Group star</t>
  </si>
  <si>
    <t xml:space="preserve">6. Diagrama grupos de interés</t>
  </si>
  <si>
    <t xml:space="preserve">6. Etoile de groupe</t>
  </si>
  <si>
    <t xml:space="preserve">7. Themen-Stern</t>
  </si>
  <si>
    <t xml:space="preserve">7. argomenti stella</t>
  </si>
  <si>
    <t xml:space="preserve">7. Theme star</t>
  </si>
  <si>
    <t xml:space="preserve">7. Diagrama temas</t>
  </si>
  <si>
    <t xml:space="preserve">7. Etoile des thèmes</t>
  </si>
  <si>
    <t xml:space="preserve">8. Beschreibung Gewichtungsmodell</t>
  </si>
  <si>
    <t xml:space="preserve">8. Modello di ponderazione della descrizione</t>
  </si>
  <si>
    <t xml:space="preserve">8. Weighting model description</t>
  </si>
  <si>
    <t xml:space="preserve">8. Descripción del método de ponderación</t>
  </si>
  <si>
    <t xml:space="preserve">8. Description du modèle de pondération</t>
  </si>
  <si>
    <t xml:space="preserve">9. Gewichtung (ausgeblendet)</t>
  </si>
  <si>
    <t xml:space="preserve">9. Ponderazione (nascosta)</t>
  </si>
  <si>
    <t xml:space="preserve">9. Weighting (hidden)</t>
  </si>
  <si>
    <t xml:space="preserve">9. Ponderación (oculta)</t>
  </si>
  <si>
    <t xml:space="preserve">9. Pondération (caché)</t>
  </si>
  <si>
    <t xml:space="preserve">10. Branchen (ausgeblendet)</t>
  </si>
  <si>
    <t xml:space="preserve">10. Settori (nascosti)</t>
  </si>
  <si>
    <t xml:space="preserve">10. Industry sectors (hidden)</t>
  </si>
  <si>
    <t xml:space="preserve">10. Sectores (oculta)</t>
  </si>
  <si>
    <t xml:space="preserve">10. Secteurs industriels (caché)</t>
  </si>
  <si>
    <t xml:space="preserve">11. Länder und Regionen (ausgeblendet)</t>
  </si>
  <si>
    <t xml:space="preserve">11. Paesi e regioni (nascosti)</t>
  </si>
  <si>
    <t xml:space="preserve">11. Countries (hidden)</t>
  </si>
  <si>
    <t xml:space="preserve">11. Países y regiones (oculta)</t>
  </si>
  <si>
    <t xml:space="preserve">11. Pays et régions(caché)</t>
  </si>
  <si>
    <t xml:space="preserve">LEGENDE</t>
  </si>
  <si>
    <t xml:space="preserve">LEGENDA</t>
  </si>
  <si>
    <t xml:space="preserve">KEY</t>
  </si>
  <si>
    <t xml:space="preserve">LEYENDA</t>
  </si>
  <si>
    <t xml:space="preserve">Feld ist beschreibbar (grüner Rahmen, dunkelgrüne Schrift)</t>
  </si>
  <si>
    <t xml:space="preserve">Il campo è descrivibile (cornici nere, scritta verde scuro)</t>
  </si>
  <si>
    <t xml:space="preserve">Field is editable (green frame, dark green text)</t>
  </si>
  <si>
    <t xml:space="preserve">Celda editable (borde verde, letra verde oscura)</t>
  </si>
  <si>
    <t xml:space="preserve">Le champ peut être décrit  (cadre en vert, texte en vert foncé)</t>
  </si>
  <si>
    <t xml:space="preserve">Feld ist nicht beschreibbar (grauer Rahmen, dunkelgraue Schrift)</t>
  </si>
  <si>
    <t xml:space="preserve">Il campo non è descrivibile (cornice grigia, scritta grigio scuro)</t>
  </si>
  <si>
    <t xml:space="preserve">Feld is read-only (grey frame, dark grey text)</t>
  </si>
  <si>
    <t xml:space="preserve">Celda protegida (borde gris, letra gris oscura)</t>
  </si>
  <si>
    <t xml:space="preserve">Le champ est en lecture seule (cadre gris, texte en gris foncé)</t>
  </si>
  <si>
    <t xml:space="preserve">unerlaubter Wert eingegeben (zur korrekten Berechnung Wert ändern)</t>
  </si>
  <si>
    <t xml:space="preserve">È stato inserito un valore non permesso (per un calcolo corretto cambiare valore)</t>
  </si>
  <si>
    <t xml:space="preserve">non valid value entry (for correct calculation change value)</t>
  </si>
  <si>
    <t xml:space="preserve">Valor erróneo (cambie el valor para realizar un cálculo correcto)</t>
  </si>
  <si>
    <t xml:space="preserve">Valeur saisie non valide (pour un calcul correct, changez la valeur)</t>
  </si>
  <si>
    <t xml:space="preserve">fehlerhafte Eingabe</t>
  </si>
  <si>
    <t xml:space="preserve">Values are not consistent</t>
  </si>
  <si>
    <t xml:space="preserve">Los valores no son consistentes</t>
  </si>
  <si>
    <t xml:space="preserve">Les valeurs ne sont pas cohérentes</t>
  </si>
  <si>
    <t xml:space="preserve">Das Zahlenformat ist normalerweise gerundet, um die Darstellung zu
erleichtern. Die Zahlen selbst sind aber nicht gerundet. Durch diese
Darstellung kann es vorkommen, dass beispielsweise ein Aspekt mit "1"
angegeben wird (der wirkliche Wert ist 1,3), ein anderer ebenfalls mit "1"
(wirklicher Wert 1,4) und die Summe (2,7) mit "3" angegeben wird (1+1=3)</t>
  </si>
  <si>
    <t xml:space="preserve">Il formato dei numeri è arrotondato per facilitare la visualizzazione, ma i numeri non sono arrotondati. Ad esempio, potresti vedere che il valore di un aspetto è 1 (valore reale 1,3) e un altro aspetto 1 (valore reale 1,4) ma la somma tra i due aspetti è 3 (valore reale 2,7)</t>
  </si>
  <si>
    <t xml:space="preserve">The format of the numbers is usually rounded to facilitate the visualization but the numbers are not actually rounded. You may see for example that an aspect is 1 (real value 1,3) and other 1 (real value 1,4) but the sum of the two aspects is 3 (real value 2,7)</t>
  </si>
  <si>
    <t xml:space="preserve">El formato de los números suele estar redondeado para facilitar la visualización pero los números no están realmente redondeados. Puede que veas, por ejemplo, que un aspecto tiene el valor 1 (con valor real 1,3) y otro aspecto el valor 1 (con valor real 1,4), y que la suma de los dos aspectos sea 3 (que en realidad es 2,7)</t>
  </si>
  <si>
    <t xml:space="preserve">Bitte beachten Sie, dass die Zahlenformate in der Matrix gerundet
dargestellt werden</t>
  </si>
  <si>
    <t xml:space="preserve">Attenzione: il format dei numeri nella matrice è arrotondato</t>
  </si>
  <si>
    <t xml:space="preserve">Please note that the format of the numbers in the matrix is rounded</t>
  </si>
  <si>
    <t xml:space="preserve">Tenga en cuenta que el formato de los números en la matriz está redondeado</t>
  </si>
  <si>
    <t xml:space="preserve">si</t>
  </si>
  <si>
    <t xml:space="preserve">yes</t>
  </si>
  <si>
    <t xml:space="preserve">Sí</t>
  </si>
  <si>
    <t xml:space="preserve">oui</t>
  </si>
  <si>
    <t xml:space="preserve">nein</t>
  </si>
  <si>
    <t xml:space="preserve">No</t>
  </si>
  <si>
    <t xml:space="preserve">non</t>
  </si>
  <si>
    <t xml:space="preserve">KONTAKT</t>
  </si>
  <si>
    <t xml:space="preserve">CONTATTO</t>
  </si>
  <si>
    <t xml:space="preserve">CONTACT</t>
  </si>
  <si>
    <t xml:space="preserve">CONTACTO</t>
  </si>
  <si>
    <t xml:space="preserve">Fragen zur Bilanz-Erstellung: beratung@gemeinwohl-oekonomie.org (GWÖ-BeraterInnen);</t>
  </si>
  <si>
    <t xml:space="preserve">Domande per il bilancio: info@economia-del-ben-comune.it (consulenti EBC)</t>
  </si>
  <si>
    <t xml:space="preserve">Questions regarding preparation of balance sheet:
beratung@gemeinwohl-oekonomie.org (GWÖ-BeraterInnen);</t>
  </si>
  <si>
    <t xml:space="preserve">Preguntas sobre como elaborar el balance del Bien Común: nodo-empresas@economia-del-bien-comun.es</t>
  </si>
  <si>
    <t xml:space="preserve">Questions concernant la préparation du bilan : beratung@gemeinwohl-oekonomie.org (GWÖ-BeraterInnen);</t>
  </si>
  <si>
    <t xml:space="preserve">Fragen zur Auditierung: audit@gemeinwohl-oekonomie.org (GWÖ-AuditorInnen);</t>
  </si>
  <si>
    <t xml:space="preserve">Domande per l'audit: audit@febc.eu (Verificatori/auditori EBC)</t>
  </si>
  <si>
    <t xml:space="preserve">Questions regarding audit: audit@gemeinwohl-oekonomie.org (GWÖ-AuditorInnen);</t>
  </si>
  <si>
    <t xml:space="preserve">Preguntas sobre la auditoría: nodo-empresas@economia-del-bien-comun.es</t>
  </si>
  <si>
    <t xml:space="preserve">Questions concernant l'audit : audit@gemeinwohl-oekonomie.org (GWÖ-AuditorInnen);</t>
  </si>
  <si>
    <t xml:space="preserve">Weiterentwicklung der Matrix: bilanz@ecogood.org (GWÖ-Matrix Entwicklungsteam);</t>
  </si>
  <si>
    <t xml:space="preserve">Feedback on the development of the Matrix: bilanz@ecogood.org (Matrix Development Team)</t>
  </si>
  <si>
    <t xml:space="preserve">Desarrollo de la matriz: bilanz@ecogood.org (Equipo de desarrollo de la matriz EBC)</t>
  </si>
  <si>
    <t xml:space="preserve">Retour d'expériences pour le développement de la matrice : bilanz@ecogood.org (GWÖ-Matrix Entwicklungsteam);</t>
  </si>
  <si>
    <t xml:space="preserve">Excel-Programmierung: Christian Loy (christian.loy@gmx.at); Christian Kozina; Multilanguage-tool: Bernhard Oberrauch</t>
  </si>
  <si>
    <t xml:space="preserve">Programmazione Excel: Christian Loy (christian.loy@gmx.at); Christian Kozina; Multilanguage-tool: Bernhard Oberrauch (info@a-bo.net)</t>
  </si>
  <si>
    <t xml:space="preserve">Excel programming: Christian Loy (christian.loy@gmx.at); Christian Kozina; Multilanguage tool: Bernhard Oberrauch</t>
  </si>
  <si>
    <t xml:space="preserve">Programación en Excel: Christian Loy (christian.loy@gmx.at);Christian Kozina; Multilanguage-tool: Bernhard Oberrauch</t>
  </si>
  <si>
    <t xml:space="preserve">Programmation Excel : Christian Loy (christian.loy@gmx.at); Christian Kozina; Multilanguage-tool: Bernhard Oberrauch</t>
  </si>
  <si>
    <t xml:space="preserve">Inhalte: GWÖ-Matrix Entwicklungsteam</t>
  </si>
  <si>
    <t xml:space="preserve">Contents: ECG-Matrix Development Team</t>
  </si>
  <si>
    <t xml:space="preserve">Contenido: Equipo de desarrollo de la matriz EBC</t>
  </si>
  <si>
    <t xml:space="preserve">Contenus : MDT (ECG-Matrix Development Team)</t>
  </si>
  <si>
    <t xml:space="preserve">ANMERKUNGEN</t>
  </si>
  <si>
    <t xml:space="preserve">ANNOTAZIONI</t>
  </si>
  <si>
    <t xml:space="preserve">NOTES</t>
  </si>
  <si>
    <t xml:space="preserve">NOTAS ACLARATORIAS</t>
  </si>
  <si>
    <t xml:space="preserve">Alle Tabellen sind optimiert für den Ausdruck auf A4 (Hoch- oder Querformat).
Die Höhe der Zeilen ist veränderbar, falls Sie mehr Text eingeben wollen.</t>
  </si>
  <si>
    <t xml:space="preserve">Tutte le tabelle sono ottimizzate per la stampa in A4 (verticale o orizzontale).
L’Altezza delle celle è modificabile, nel caso Lei dovesse inserire più testo.</t>
  </si>
  <si>
    <t xml:space="preserve">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t>
  </si>
  <si>
    <t xml:space="preserve">Todas las hojas están optimizadas para la impresión en formato A4 (apaisado o retrato).
La altura de las filas se puede ajustar, si se introduce más texto
El formato de los números suele estar redondeado para facilitar la visualización, pero los números no están realmente redondeados. Puedes ver como ejemplo que un aspecto es 1 (en realidad 1,3) y otro 1 (en realidad 1,4) pero la suma es 3 (en realidad 2,7).
</t>
  </si>
  <si>
    <t xml:space="preserve">Toutes les feuilles sont configurées pour une impression en format A4 (paysage ou portrait). La hauteur des colonnes peut être ajustée, si vous aviez besoin de plus de texte.</t>
  </si>
  <si>
    <t xml:space="preserve">ALLGEMEINE ANGABEN ZUM UNTERNEHMEN</t>
  </si>
  <si>
    <t xml:space="preserve">Dati dell'impresa</t>
  </si>
  <si>
    <t xml:space="preserve">GENERAL INFORMATION ABOUT THE COMPANY</t>
  </si>
  <si>
    <t xml:space="preserve">INFORMACIÓN GENERAL SOBRE LA EMPRESA</t>
  </si>
  <si>
    <t xml:space="preserve">INFORMATIONS GENERALES SUR L'ENTREPRISE</t>
  </si>
  <si>
    <t xml:space="preserve">Bitte vollständig ausfüllen!</t>
  </si>
  <si>
    <t xml:space="preserve">Per favore compili completamente!</t>
  </si>
  <si>
    <t xml:space="preserve">Please complete all fields.</t>
  </si>
  <si>
    <t xml:space="preserve">Por favor introduzca todos los datos</t>
  </si>
  <si>
    <t xml:space="preserve">Merci de compléter tous les champs</t>
  </si>
  <si>
    <t xml:space="preserve">Name des Unternehmens:</t>
  </si>
  <si>
    <t xml:space="preserve">Nome dell'impresa:</t>
  </si>
  <si>
    <t xml:space="preserve">Name of Company / Organisation:</t>
  </si>
  <si>
    <t xml:space="preserve">Nombre de la empresa:</t>
  </si>
  <si>
    <t xml:space="preserve">Nom de l'entreprise / organisation :</t>
  </si>
  <si>
    <t xml:space="preserve">Anschrift:</t>
  </si>
  <si>
    <t xml:space="preserve">Indirizzo:</t>
  </si>
  <si>
    <t xml:space="preserve">Address:</t>
  </si>
  <si>
    <t xml:space="preserve">Dirección:</t>
  </si>
  <si>
    <t xml:space="preserve">Adresse : </t>
  </si>
  <si>
    <t xml:space="preserve">Staat:</t>
  </si>
  <si>
    <t xml:space="preserve">Stato:</t>
  </si>
  <si>
    <t xml:space="preserve">Country:</t>
  </si>
  <si>
    <t xml:space="preserve">Estado:</t>
  </si>
  <si>
    <t xml:space="preserve">Pays : </t>
  </si>
  <si>
    <t xml:space="preserve">Branche:</t>
  </si>
  <si>
    <t xml:space="preserve">Settore:</t>
  </si>
  <si>
    <t xml:space="preserve">Industry sector:</t>
  </si>
  <si>
    <t xml:space="preserve">Sector:</t>
  </si>
  <si>
    <t xml:space="preserve">Secteur industriel :</t>
  </si>
  <si>
    <t xml:space="preserve">Website:</t>
  </si>
  <si>
    <t xml:space="preserve">Sito web:</t>
  </si>
  <si>
    <t xml:space="preserve">Página web:</t>
  </si>
  <si>
    <t xml:space="preserve">Site web : </t>
  </si>
  <si>
    <t xml:space="preserve">Anzahl der MitarbeiterInnen:</t>
  </si>
  <si>
    <t xml:space="preserve">Presenza adetti</t>
  </si>
  <si>
    <t xml:space="preserve">Number of employees</t>
  </si>
  <si>
    <t xml:space="preserve">Número de trabajadores:</t>
  </si>
  <si>
    <t xml:space="preserve">Nombre d'employés :</t>
  </si>
  <si>
    <t xml:space="preserve">Ein-Personen-Unternehmen:</t>
  </si>
  <si>
    <t xml:space="preserve">Impresa "di un collabpratore":</t>
  </si>
  <si>
    <t xml:space="preserve">Sole trader (ST) (or single-person)</t>
  </si>
  <si>
    <t xml:space="preserve">Empresas unipersonales:</t>
  </si>
  <si>
    <t xml:space="preserve">entreprise unipersonnelle</t>
  </si>
  <si>
    <t xml:space="preserve">(Hinweis: Wenn ja, werden die für EPUs gültigen Werte automatisch in die Berechnung übernommen.)</t>
  </si>
  <si>
    <t xml:space="preserve">(Attenzione: se la risposta è si, I valori validi per l’impresa individuale vengono accettati automaticamente nel calcolo.)</t>
  </si>
  <si>
    <t xml:space="preserve">(Note: If yes, the values for STs will be filled in automatically for the calculation)</t>
  </si>
  <si>
    <t xml:space="preserve">(Nota: si introduce sí, entonces se aplican algunos valores automáticos en la ponderación)</t>
  </si>
  <si>
    <t xml:space="preserve">si oui, les données de calcul concernant les Entreprise individuelles sont automatiquement ajustées</t>
  </si>
  <si>
    <t xml:space="preserve">Bilanzjahr:</t>
  </si>
  <si>
    <t xml:space="preserve">bilancio anno:</t>
  </si>
  <si>
    <t xml:space="preserve">Balance year:</t>
  </si>
  <si>
    <t xml:space="preserve">Año del balance:</t>
  </si>
  <si>
    <t xml:space="preserve">Bilan annuel</t>
  </si>
  <si>
    <t xml:space="preserve">ErstellerIn:</t>
  </si>
  <si>
    <t xml:space="preserve">Compilatore/trice:</t>
  </si>
  <si>
    <t xml:space="preserve">Document created by:</t>
  </si>
  <si>
    <t xml:space="preserve">Redactor del balance:</t>
  </si>
  <si>
    <t xml:space="preserve">Document créé par : </t>
  </si>
  <si>
    <t xml:space="preserve">E-Mail-Adresse:</t>
  </si>
  <si>
    <t xml:space="preserve">indirizzo mail:</t>
  </si>
  <si>
    <t xml:space="preserve">Email address:</t>
  </si>
  <si>
    <t xml:space="preserve">E-mail:</t>
  </si>
  <si>
    <t xml:space="preserve">Adresse e-mail :</t>
  </si>
  <si>
    <t xml:space="preserve">Telefonnummer:</t>
  </si>
  <si>
    <t xml:space="preserve">numero di telefono:</t>
  </si>
  <si>
    <t xml:space="preserve">Phone number:</t>
  </si>
  <si>
    <t xml:space="preserve">Teléfono:</t>
  </si>
  <si>
    <t xml:space="preserve">Numéro de téléphone :</t>
  </si>
  <si>
    <t xml:space="preserve">BeraterIn:</t>
  </si>
  <si>
    <t xml:space="preserve">Consulente:</t>
  </si>
  <si>
    <t xml:space="preserve">Consultant:</t>
  </si>
  <si>
    <t xml:space="preserve">Consultor/a:</t>
  </si>
  <si>
    <t xml:space="preserve">Consultant : </t>
  </si>
  <si>
    <t xml:space="preserve">E-mail address:</t>
  </si>
  <si>
    <t xml:space="preserve">Phone Number</t>
  </si>
  <si>
    <t xml:space="preserve">Kurzbeschreibung
des Unternehmens:</t>
  </si>
  <si>
    <t xml:space="preserve">Breve descrizione dell'impresa:</t>
  </si>
  <si>
    <t xml:space="preserve">Short description of Company / Organisation</t>
  </si>
  <si>
    <t xml:space="preserve">Breve descripción de la empresa:</t>
  </si>
  <si>
    <t xml:space="preserve">Courte description de l'entreprise / organisation : </t>
  </si>
  <si>
    <t xml:space="preserve">Sonstige Anmerkungen:</t>
  </si>
  <si>
    <t xml:space="preserve">Altre osservazioni:</t>
  </si>
  <si>
    <t xml:space="preserve">Additional comments:</t>
  </si>
  <si>
    <t xml:space="preserve">Otros comentarios:</t>
  </si>
  <si>
    <t xml:space="preserve">Autres informations :</t>
  </si>
  <si>
    <t xml:space="preserve">BERECHNUNG DER EINZELNEN THEMEN</t>
  </si>
  <si>
    <t xml:space="preserve">Calcolo dei singoli criteri</t>
  </si>
  <si>
    <t xml:space="preserve">CALCULATION OF INDIVIDUAL INDICATORS</t>
  </si>
  <si>
    <t xml:space="preserve">CÁLCULO DE CADA UNO DE LOS TEMAS</t>
  </si>
  <si>
    <t xml:space="preserve">CALCUL DES THEMES pris individuellement </t>
  </si>
  <si>
    <t xml:space="preserve">Unternehmen</t>
  </si>
  <si>
    <t xml:space="preserve">Azienda</t>
  </si>
  <si>
    <t xml:space="preserve">Company / Organisation</t>
  </si>
  <si>
    <t xml:space="preserve">Empresa:</t>
  </si>
  <si>
    <t xml:space="preserve">Entreprise / Organisation </t>
  </si>
  <si>
    <t xml:space="preserve">Bilanz-Jahr</t>
  </si>
  <si>
    <t xml:space="preserve">Anno di riferimento</t>
  </si>
  <si>
    <t xml:space="preserve">Period under review</t>
  </si>
  <si>
    <t xml:space="preserve">Année du bilan </t>
  </si>
  <si>
    <t xml:space="preserve">BERECHNUNG DER EINZELNEN ASPEKTE</t>
  </si>
  <si>
    <t xml:space="preserve">Calcolo detagliato dei singoli aspetti</t>
  </si>
  <si>
    <t xml:space="preserve">CALCULATION OF INDIVIDUAL ASPECTS</t>
  </si>
  <si>
    <t xml:space="preserve">CÁLCULO DE CADA UNO DE LOS ASPECTOS</t>
  </si>
  <si>
    <t xml:space="preserve">CALCUL DES ASPECTS INDIVIDUELS</t>
  </si>
  <si>
    <t xml:space="preserve">Gemeinwohl-Bilanz-Rechner</t>
  </si>
  <si>
    <t xml:space="preserve">Calcolatore del bilancio del Bene Comune</t>
  </si>
  <si>
    <t xml:space="preserve">Common Good Balance Calculator</t>
  </si>
  <si>
    <t xml:space="preserve">Calculadora del Bien Común</t>
  </si>
  <si>
    <t xml:space="preserve">Calculateur du bilan de l'Economie pour le Bien Commun</t>
  </si>
  <si>
    <t xml:space="preserve">BILANZSUMME:</t>
  </si>
  <si>
    <t xml:space="preserve">Somma Bilancio:</t>
  </si>
  <si>
    <t xml:space="preserve">Total Balance Score:</t>
  </si>
  <si>
    <t xml:space="preserve">Puntuación total:</t>
  </si>
  <si>
    <t xml:space="preserve">Total score bilan :</t>
  </si>
  <si>
    <t xml:space="preserve">Nr.</t>
  </si>
  <si>
    <t xml:space="preserve">N°</t>
  </si>
  <si>
    <t xml:space="preserve">No.</t>
  </si>
  <si>
    <t xml:space="preserve">N.º</t>
  </si>
  <si>
    <t xml:space="preserve">Berührungsgruppe</t>
  </si>
  <si>
    <t xml:space="preserve">Gruppo coinvolto</t>
  </si>
  <si>
    <t xml:space="preserve">Stakeholders </t>
  </si>
  <si>
    <t xml:space="preserve">Grupos de interés</t>
  </si>
  <si>
    <t xml:space="preserve">Parties prenantes</t>
  </si>
  <si>
    <t xml:space="preserve">Berührungsgruppe/Themen/Aspekte</t>
  </si>
  <si>
    <t xml:space="preserve">Gruppo d'Interesse/Tema/Aspetto</t>
  </si>
  <si>
    <t xml:space="preserve">Stakeholders/Indicators/Criteria</t>
  </si>
  <si>
    <t xml:space="preserve">Grupo de interés / Tema / Aspecto</t>
  </si>
  <si>
    <t xml:space="preserve">Parties prenantes/thèmes/aspects</t>
  </si>
  <si>
    <t xml:space="preserve">Gewichtung</t>
  </si>
  <si>
    <t xml:space="preserve">Peso</t>
  </si>
  <si>
    <t xml:space="preserve">Weight</t>
  </si>
  <si>
    <t xml:space="preserve">Ponderación</t>
  </si>
  <si>
    <t xml:space="preserve">Pondération </t>
  </si>
  <si>
    <t xml:space="preserve">molto alto</t>
  </si>
  <si>
    <t xml:space="preserve">very high</t>
  </si>
  <si>
    <t xml:space="preserve">Muy alta</t>
  </si>
  <si>
    <t xml:space="preserve">Très haut</t>
  </si>
  <si>
    <t xml:space="preserve">alto</t>
  </si>
  <si>
    <t xml:space="preserve">high</t>
  </si>
  <si>
    <t xml:space="preserve">Alta</t>
  </si>
  <si>
    <t xml:space="preserve">Haut</t>
  </si>
  <si>
    <t xml:space="preserve">medio</t>
  </si>
  <si>
    <t xml:space="preserve">medium</t>
  </si>
  <si>
    <t xml:space="preserve">Media</t>
  </si>
  <si>
    <t xml:space="preserve">Moyen</t>
  </si>
  <si>
    <t xml:space="preserve">basso</t>
  </si>
  <si>
    <t xml:space="preserve">low</t>
  </si>
  <si>
    <t xml:space="preserve">Baja</t>
  </si>
  <si>
    <t xml:space="preserve">Faible</t>
  </si>
  <si>
    <t xml:space="preserve">non da considerare</t>
  </si>
  <si>
    <t xml:space="preserve">not applicable</t>
  </si>
  <si>
    <t xml:space="preserve">No aplica</t>
  </si>
  <si>
    <t xml:space="preserve">non concerné</t>
  </si>
  <si>
    <t xml:space="preserve">Erläuterung</t>
  </si>
  <si>
    <t xml:space="preserve">Descrizione</t>
  </si>
  <si>
    <t xml:space="preserve">Current status</t>
  </si>
  <si>
    <t xml:space="preserve">Estado actual</t>
  </si>
  <si>
    <t xml:space="preserve">Explication</t>
  </si>
  <si>
    <t xml:space="preserve">Verbesserungspotenzial</t>
  </si>
  <si>
    <t xml:space="preserve">Possibilità di miglioramento</t>
  </si>
  <si>
    <t xml:space="preserve">Potential for improvement</t>
  </si>
  <si>
    <t xml:space="preserve">Áreas de mejora</t>
  </si>
  <si>
    <t xml:space="preserve">Potentiel d'amélioration</t>
  </si>
  <si>
    <t xml:space="preserve">Erfüll.</t>
  </si>
  <si>
    <t xml:space="preserve">Val%</t>
  </si>
  <si>
    <t xml:space="preserve">Est%</t>
  </si>
  <si>
    <t xml:space="preserve">Nivel</t>
  </si>
  <si>
    <t xml:space="preserve">Estimation</t>
  </si>
  <si>
    <t xml:space="preserve">Pkte</t>
  </si>
  <si>
    <t xml:space="preserve">Punti</t>
  </si>
  <si>
    <t xml:space="preserve">Points</t>
  </si>
  <si>
    <t xml:space="preserve">Punt.</t>
  </si>
  <si>
    <t xml:space="preserve">Max.</t>
  </si>
  <si>
    <t xml:space="preserve">Stakeholders/ tematiche/ aspetti</t>
  </si>
  <si>
    <t xml:space="preserve">Stakeholders/ Themes/ Aspects</t>
  </si>
  <si>
    <t xml:space="preserve">Parties prenantes/Thèmes/Aspects</t>
  </si>
  <si>
    <t xml:space="preserve">Lieferant*innen</t>
  </si>
  <si>
    <t xml:space="preserve">Fornitori</t>
  </si>
  <si>
    <t xml:space="preserve">Suppliers</t>
  </si>
  <si>
    <t xml:space="preserve">Proveedores</t>
  </si>
  <si>
    <t xml:space="preserve">Les fournisseurs</t>
  </si>
  <si>
    <t xml:space="preserve">Menschenwürde in der Zulieferkette</t>
  </si>
  <si>
    <t xml:space="preserve">La dignità umana lungo la catena di fornitura</t>
  </si>
  <si>
    <t xml:space="preserve">Human dignity in the supply chain</t>
  </si>
  <si>
    <t xml:space="preserve">Dignidad humana en la cadena de suministro</t>
  </si>
  <si>
    <t xml:space="preserve">Dignité humaine dans la chaîne d'approvisionnement</t>
  </si>
  <si>
    <t xml:space="preserve">Arbeitsbedingungen und gesellschaftliche Auswirkungen in der Zulieferkette</t>
  </si>
  <si>
    <t xml:space="preserve">Condizioni di lavoro e conseguenze sociali nella catena di fornitura</t>
  </si>
  <si>
    <t xml:space="preserve">Working conditions and social impact in the supply chain</t>
  </si>
  <si>
    <t xml:space="preserve">Condiciones de trabajo e impacto social en la cadena de suministro</t>
  </si>
  <si>
    <t xml:space="preserve">Conditions de travail et impacts ou conséquences sociales dans la chaîne d’approvisionnement</t>
  </si>
  <si>
    <t xml:space="preserve">Negativ-Aspekt: Verletzung der Menschenwürde in der Zulieferkette</t>
  </si>
  <si>
    <t xml:space="preserve">Aspetto negativo: Violazione della dignità umana nella catena di fornitura</t>
  </si>
  <si>
    <t xml:space="preserve">Negative aspect: violation of human dignity in the supply chain</t>
  </si>
  <si>
    <t xml:space="preserve">Aspecto negativo: vulneración de la dignidad humana en la cadena de suministro</t>
  </si>
  <si>
    <t xml:space="preserve">Aspect négatif : Violation de la dignité humaine dans la chaîne d'approvisionnement</t>
  </si>
  <si>
    <t xml:space="preserve">Solidarität und Gerechtigkeit in der Zulieferkette</t>
  </si>
  <si>
    <t xml:space="preserve">Solidarietà e giustizia nella catena di fornitura</t>
  </si>
  <si>
    <t xml:space="preserve">Solidarity and social justice in the supply chain</t>
  </si>
  <si>
    <t xml:space="preserve">Justicia y solidaridad en la cadena de suministro</t>
  </si>
  <si>
    <t xml:space="preserve">Solidarité et équité dans la chaîne d'approvisionnement</t>
  </si>
  <si>
    <t xml:space="preserve">Faire Geschäftsbeziehungen zu direkten Lieferant*innen</t>
  </si>
  <si>
    <t xml:space="preserve">Relazioni commerciali eque nei confronti dei fornitori diretti</t>
  </si>
  <si>
    <t xml:space="preserve">Fair business practices towards direct suppliers</t>
  </si>
  <si>
    <t xml:space="preserve">Actitud ética con proveedores directos</t>
  </si>
  <si>
    <t xml:space="preserve">Relations commerciales équitables avec les fournisseurs directs</t>
  </si>
  <si>
    <t xml:space="preserve">Positive Einflussnahme auf Solidarität und Gerechtigkeit in der gesamten Zulieferkette</t>
  </si>
  <si>
    <t xml:space="preserve">Influssi positivi sulla solidarietà e la giustizia lungo l'intera catena di fornitura</t>
  </si>
  <si>
    <t xml:space="preserve">Exercising a positive influence on solidarity and social justice in the supply chain</t>
  </si>
  <si>
    <t xml:space="preserve">Promoción de la justicia y la solidaridad en toda la cadena de suministro</t>
  </si>
  <si>
    <t xml:space="preserve">Influence positive sur la solidarité et l'équité tout au long de la chaîne d'approvisionnement</t>
  </si>
  <si>
    <t xml:space="preserve">Negativ-Aspekt: Ausnutzung der Marktmacht gegenüber Lieferant*innen</t>
  </si>
  <si>
    <t xml:space="preserve">Aspetto negativo: Sfruttamento del potere di mercato nei confronti dei fornitori</t>
  </si>
  <si>
    <t xml:space="preserve">Negative aspect: abuse of market power against suppliers</t>
  </si>
  <si>
    <t xml:space="preserve">Aspecto negativo: abuso de poder de mercado frente a proveedores</t>
  </si>
  <si>
    <t xml:space="preserve">Aspect négatif : Exploiter le pouvoir de marché vis-à-vis des fournisseurs</t>
  </si>
  <si>
    <t xml:space="preserve">Ökologische Nachhaltigkeit in der Zulieferkette</t>
  </si>
  <si>
    <t xml:space="preserve">Sostenibilità ecologica nella catena di fornitura</t>
  </si>
  <si>
    <t xml:space="preserve">Environmental sustainability in the supply chain</t>
  </si>
  <si>
    <t xml:space="preserve">Sostenibilidad medioambiental en la cadena de suministro</t>
  </si>
  <si>
    <t xml:space="preserve">Durabilité écologique dans la chaîne d'approvisionnement</t>
  </si>
  <si>
    <t xml:space="preserve">Umweltauswirkungen in der Zulieferkette</t>
  </si>
  <si>
    <t xml:space="preserve">Conseguenze ambientali lungo la catena di fornitura</t>
  </si>
  <si>
    <t xml:space="preserve">Environmental impact throughout the supply chain</t>
  </si>
  <si>
    <t xml:space="preserve">Impacto medioambiental en la cadena de suministro</t>
  </si>
  <si>
    <t xml:space="preserve">Impacts environnementaux dans la chaîne d'approvisionnement</t>
  </si>
  <si>
    <t xml:space="preserve">Negativ-Aspekt:Unverhältnismäßig hohe Umweltauswirkungen in der Zulieferkette</t>
  </si>
  <si>
    <t xml:space="preserve">Aspetto negativo: Conseguenze ambientali sproporzionatamente elevate lungo la catena di fornitura</t>
  </si>
  <si>
    <t xml:space="preserve">Negative aspect: disproportionate environmental impact throughout the supply chain</t>
  </si>
  <si>
    <t xml:space="preserve">Aspecto negativo: impacto medioambiental desproporcionado en la cadena de suministro</t>
  </si>
  <si>
    <t xml:space="preserve">Aspect négatif : Impact environnemental disproportionné dans la chaîne d'approvisionnement</t>
  </si>
  <si>
    <t xml:space="preserve">Transparenz und Mitentscheidung in der Zulieferkette</t>
  </si>
  <si>
    <t xml:space="preserve">Trasparenza e condivisione delle decisioni lungo la catena di fornitura</t>
  </si>
  <si>
    <t xml:space="preserve">Transparency &amp; co-determination in the supply chain</t>
  </si>
  <si>
    <t xml:space="preserve">Transparencia y participación democrática en la cadena de suministro</t>
  </si>
  <si>
    <t xml:space="preserve">Transparence et co-décision dans la chaîne d'approvisionnement</t>
  </si>
  <si>
    <t xml:space="preserve">Transparenz und Mitentscheidungsrechte für Lieferant*innen</t>
  </si>
  <si>
    <t xml:space="preserve">Trasparenza e diritti di condivisione delle decisioni per i fornitori</t>
  </si>
  <si>
    <t xml:space="preserve">Transparency towards suppliers and their right to co-determination</t>
  </si>
  <si>
    <t xml:space="preserve">Transparencia y participación democrática de los proveedores</t>
  </si>
  <si>
    <t xml:space="preserve">Droits à la transparence et à la co-décision pour les fournisseurs</t>
  </si>
  <si>
    <t xml:space="preserve">Positive Einflussnahme auf Transparenz und Mitentscheidung in der gesamten Zulieferkette</t>
  </si>
  <si>
    <t xml:space="preserve">Influssi positivi sulla trasparenza e la condivisione delle decisioni lungo l'intera catena di fornitura</t>
  </si>
  <si>
    <t xml:space="preserve">Positive influence on transparency and co-determination throughout the supply chain</t>
  </si>
  <si>
    <t xml:space="preserve">Promoción de la transparencia y participación democrática en toda la cadena de suministro</t>
  </si>
  <si>
    <t xml:space="preserve">Influence positive sur la transparence et la co-décision tout au long de la chaîne d'approvisionnement</t>
  </si>
  <si>
    <t xml:space="preserve">Eigentümer*innen und Finanzpartner*innen</t>
  </si>
  <si>
    <t xml:space="preserve">Proprietari &amp; partner finanziari</t>
  </si>
  <si>
    <t xml:space="preserve">Owners, equity- and financial service providers</t>
  </si>
  <si>
    <t xml:space="preserve">Propietarios y proveedores financieros</t>
  </si>
  <si>
    <t xml:space="preserve">Les propriétaires et partenaires financiers</t>
  </si>
  <si>
    <t xml:space="preserve">Ethische Haltung im Umgang mit Geldmitteln</t>
  </si>
  <si>
    <t xml:space="preserve">Atteggiamento etico nell'impiego di fondi</t>
  </si>
  <si>
    <t xml:space="preserve">Ethical position in relation to financial resources</t>
  </si>
  <si>
    <t xml:space="preserve">Actitud ética en la gestión de recursos financieros</t>
  </si>
  <si>
    <t xml:space="preserve">Attitude éthique face aux financements</t>
  </si>
  <si>
    <t xml:space="preserve">Finanzielle Unabhängigkeit durch Eigenfinanzierung</t>
  </si>
  <si>
    <t xml:space="preserve">Autonomia finanziaria grazie all'autofinanziamento</t>
  </si>
  <si>
    <t xml:space="preserve">Financial independence through equity financing</t>
  </si>
  <si>
    <t xml:space="preserve">Independencia financiera: autofinanciación</t>
  </si>
  <si>
    <t xml:space="preserve">Indépendance financière grâce à l'autofinancement</t>
  </si>
  <si>
    <t xml:space="preserve">Gemeinwohlorientierte Fremdfinanzierung</t>
  </si>
  <si>
    <t xml:space="preserve">Finanziamento esterno orientato al bene comune</t>
  </si>
  <si>
    <t xml:space="preserve">Common Good-orientated borrowing</t>
  </si>
  <si>
    <t xml:space="preserve">Financiación externa orientada al Bien Común</t>
  </si>
  <si>
    <t xml:space="preserve">Financement par emprunt orienté bien commun</t>
  </si>
  <si>
    <t xml:space="preserve">Ethische Haltung externer Finanzpartner*innen</t>
  </si>
  <si>
    <t xml:space="preserve">L'approccio etico di finanziatori esterni</t>
  </si>
  <si>
    <t xml:space="preserve">Ethical position of external financial partners</t>
  </si>
  <si>
    <t xml:space="preserve">Actitud ética de los proveedores financieros</t>
  </si>
  <si>
    <t xml:space="preserve">Attitude éthique des partenaires financiers externes</t>
  </si>
  <si>
    <t xml:space="preserve">Soziale Haltung im Umgang mit Geldmitteln</t>
  </si>
  <si>
    <t xml:space="preserve">Atteggiamento sociale nell'impiego di fondi</t>
  </si>
  <si>
    <t xml:space="preserve">Social position in relation to financial resources</t>
  </si>
  <si>
    <t xml:space="preserve">Actitud solidaria en la gestión de recursos financieros</t>
  </si>
  <si>
    <t xml:space="preserve">Attitude sociale face aux financements</t>
  </si>
  <si>
    <t xml:space="preserve">Solidarische und gemeinwohlorientierte Mittelverwendung</t>
  </si>
  <si>
    <t xml:space="preserve">Impiego dei fondi solidale e orientato al bene comune</t>
  </si>
  <si>
    <t xml:space="preserve">Solidarity and Common Good-orientated use of funds</t>
  </si>
  <si>
    <t xml:space="preserve">Gestión de los recursos financieros de forma solidaria y orientada al Bien Común</t>
  </si>
  <si>
    <t xml:space="preserve">Utilisation solidaire et orientée bien commun des financements</t>
  </si>
  <si>
    <t xml:space="preserve">Negativ-Aspekt: Unfaire Verteilung von Geldmittel</t>
  </si>
  <si>
    <t xml:space="preserve">Aspetto negativo: Distribuzione iniqua di fondi</t>
  </si>
  <si>
    <t xml:space="preserve">Negative aspect: unfair distribution of funds</t>
  </si>
  <si>
    <t xml:space="preserve">Aspecto negativo: repartición injusta de los recursos financieros</t>
  </si>
  <si>
    <t xml:space="preserve">Aspect négatif : Répartition non équitable des fonds</t>
  </si>
  <si>
    <t xml:space="preserve">Sozial-ökologische Investitionen und Mittelverwendung</t>
  </si>
  <si>
    <t xml:space="preserve">Investimenti socio-ecologici e impiego dei fondi</t>
  </si>
  <si>
    <t xml:space="preserve">Use of funds in relation to social and environmental impacts</t>
  </si>
  <si>
    <t xml:space="preserve">Inversiones financieras sostenibles y uso de los recursos financieros</t>
  </si>
  <si>
    <t xml:space="preserve">Investissement et utilisation socio-écologique des fonds financiers</t>
  </si>
  <si>
    <t xml:space="preserve">Ökologische Qualität der Investitionen</t>
  </si>
  <si>
    <t xml:space="preserve">Qualità ecologica degli investimenti</t>
  </si>
  <si>
    <t xml:space="preserve">Environmental quality of investments</t>
  </si>
  <si>
    <t xml:space="preserve">Carácter ambiental de los recursos financieros</t>
  </si>
  <si>
    <t xml:space="preserve">Qualité écologique des investissements</t>
  </si>
  <si>
    <t xml:space="preserve">Gemeinwohlorientierte Veranlagung</t>
  </si>
  <si>
    <t xml:space="preserve">Investimento orientato al bene comune</t>
  </si>
  <si>
    <t xml:space="preserve">Common Good-orientated investment</t>
  </si>
  <si>
    <t xml:space="preserve">Inversiones orientadas al Bien Común</t>
  </si>
  <si>
    <t xml:space="preserve">Investissement orienté volontairement bien commun</t>
  </si>
  <si>
    <t xml:space="preserve">Negativ-Aspekt: Abhängigkeit von ökologisch bedenklichen Ressourcen</t>
  </si>
  <si>
    <t xml:space="preserve">Aspetto negativo: Dipendenza da risorse a rischio in termini ecologici</t>
  </si>
  <si>
    <t xml:space="preserve">Negative aspect: reliance on environmentally unsafe resources</t>
  </si>
  <si>
    <t xml:space="preserve">Aspecto negativo: dependencia de recursos perjudiciales para el medio ambiente</t>
  </si>
  <si>
    <t xml:space="preserve">Aspect négatif : Dépendance à l'égard de ressources écologiquement discutables</t>
  </si>
  <si>
    <t xml:space="preserve">Eigentum und Mitentscheidung</t>
  </si>
  <si>
    <t xml:space="preserve">Proprietà e condivisione delle decisioni</t>
  </si>
  <si>
    <t xml:space="preserve">Ownership and co-determination</t>
  </si>
  <si>
    <t xml:space="preserve">Propiedad y participación democrática</t>
  </si>
  <si>
    <t xml:space="preserve">Propriété des capitaux et co-décision</t>
  </si>
  <si>
    <t xml:space="preserve">Gemeinwohlorientierte Eigentumsstruktur</t>
  </si>
  <si>
    <t xml:space="preserve">Struttura di proprietà orientata al bene comune</t>
  </si>
  <si>
    <t xml:space="preserve">Common Good-orientated ownership structure</t>
  </si>
  <si>
    <t xml:space="preserve">Distribución de la propiedad orientada al Bien Común</t>
  </si>
  <si>
    <t xml:space="preserve">Structure de propriété orientée ECB</t>
  </si>
  <si>
    <t xml:space="preserve">Negativ-Aspekt: Feindliche Übernahme</t>
  </si>
  <si>
    <t xml:space="preserve">Aspetto negativo: Scalata ostile</t>
  </si>
  <si>
    <t xml:space="preserve">Negative aspect: hostile takeover</t>
  </si>
  <si>
    <t xml:space="preserve">Aspecto negativo: oferta pública de adquisición (OPA) hostil</t>
  </si>
  <si>
    <t xml:space="preserve">Aspect négatif : Prise de contrôle hostile</t>
  </si>
  <si>
    <t xml:space="preserve">Mitarbeitende</t>
  </si>
  <si>
    <t xml:space="preserve">Collaboratori</t>
  </si>
  <si>
    <t xml:space="preserve">Employees</t>
  </si>
  <si>
    <t xml:space="preserve">Trabajadores</t>
  </si>
  <si>
    <t xml:space="preserve">Les salariés</t>
  </si>
  <si>
    <t xml:space="preserve">Menschenwürde am Arbeitsplatz</t>
  </si>
  <si>
    <t xml:space="preserve">La dignità umana sul posto di lavoro</t>
  </si>
  <si>
    <t xml:space="preserve">Human dignity in the workplace and working environment</t>
  </si>
  <si>
    <t xml:space="preserve">Dignidad humana en el puesto de trabajo</t>
  </si>
  <si>
    <t xml:space="preserve">Dignité humaine au travail</t>
  </si>
  <si>
    <t xml:space="preserve">Mitarbeiterorientierte Unternehmenskultur</t>
  </si>
  <si>
    <t xml:space="preserve">Cultura aziendale orientata ai collaboratori</t>
  </si>
  <si>
    <t xml:space="preserve">Employee-focused organisational culture</t>
  </si>
  <si>
    <t xml:space="preserve">Cultura empresarial orientada a las personas</t>
  </si>
  <si>
    <t xml:space="preserve">Culture d'entreprise orientée salariés</t>
  </si>
  <si>
    <t xml:space="preserve">Gesundheitsförderung und Arbeitsschutz</t>
  </si>
  <si>
    <t xml:space="preserve">Promozione della salute e protezione sul posto di lavoro </t>
  </si>
  <si>
    <t xml:space="preserve">Health promotion and occupational health and safety</t>
  </si>
  <si>
    <t xml:space="preserve">Promoción de la salud y seguridad en el trabajo</t>
  </si>
  <si>
    <t xml:space="preserve">Promotion de la santé et sécurité au travail</t>
  </si>
  <si>
    <t xml:space="preserve">Diversität und Chancengleichheit</t>
  </si>
  <si>
    <t xml:space="preserve">Diversità e pari opportunità</t>
  </si>
  <si>
    <t xml:space="preserve">Diversity and equal opportunities</t>
  </si>
  <si>
    <t xml:space="preserve">Diversidad e igualdad de oportunidades</t>
  </si>
  <si>
    <t xml:space="preserve">Diversité et égalité des chances</t>
  </si>
  <si>
    <t xml:space="preserve">Negativ-Aspekt: Menschenunwürdige Arbeitsbedingungen</t>
  </si>
  <si>
    <t xml:space="preserve">Aspetto negativo: Condizioni di lavoro disumane</t>
  </si>
  <si>
    <t xml:space="preserve">Negative aspect: unfit working conditions</t>
  </si>
  <si>
    <t xml:space="preserve">Aspecto negativo: condiciones de trabajo indignas</t>
  </si>
  <si>
    <t xml:space="preserve">Aspect négatif : Conditions de travail indignes</t>
  </si>
  <si>
    <t xml:space="preserve">Ausgestaltung der Arbeitsverträge</t>
  </si>
  <si>
    <t xml:space="preserve">Welfare aziendale, retribuzione e organizzazione del lavoro</t>
  </si>
  <si>
    <t xml:space="preserve">Self-determined working arrangements</t>
  </si>
  <si>
    <t xml:space="preserve">Formalidad de los contratos de trabajo</t>
  </si>
  <si>
    <t xml:space="preserve">Gestion des contrats de travail</t>
  </si>
  <si>
    <t xml:space="preserve">Ausgestaltung des Verdienstes</t>
  </si>
  <si>
    <t xml:space="preserve">Strutturazione del guadagno</t>
  </si>
  <si>
    <t xml:space="preserve">Pay structure</t>
  </si>
  <si>
    <t xml:space="preserve">Formalidad y estructura salarial</t>
  </si>
  <si>
    <t xml:space="preserve">Les salaires et revenus</t>
  </si>
  <si>
    <t xml:space="preserve">Ausgestaltung der Arbeitszeit</t>
  </si>
  <si>
    <t xml:space="preserve">Organizzazione dell'orario di lavoro</t>
  </si>
  <si>
    <t xml:space="preserve">Structuring working time</t>
  </si>
  <si>
    <t xml:space="preserve">Formalidad en el horario laboral</t>
  </si>
  <si>
    <t xml:space="preserve">Organisation du temps de travail</t>
  </si>
  <si>
    <t xml:space="preserve">Ausgestaltung des Arbeitsverhältnisses und Work-Life-Balance</t>
  </si>
  <si>
    <t xml:space="preserve">Organizzazione del rapporto di lavoro e Work-Life-Balance</t>
  </si>
  <si>
    <t xml:space="preserve">Employment structure and work-life balance</t>
  </si>
  <si>
    <t xml:space="preserve">Formalidad en las condiciones de trabajo y en la conciliación</t>
  </si>
  <si>
    <t xml:space="preserve">Structure de la relation au travail et équilibre entre vie professionnelle et vie privée</t>
  </si>
  <si>
    <t xml:space="preserve">Negativ-Aspekt: Ungerechte Ausgestaltung der Arbeitsverträge</t>
  </si>
  <si>
    <t xml:space="preserve">Aspetto negativo: Strutturazione ingiusta dei contratti di lavoro</t>
  </si>
  <si>
    <t xml:space="preserve">Negative aspect: unfair employment contracts</t>
  </si>
  <si>
    <t xml:space="preserve">Aspecto negativo: contratos de trabajo injustos</t>
  </si>
  <si>
    <t xml:space="preserve">Aspect négatif : Injustices ou inéquités dans la gestion des contrats de travail</t>
  </si>
  <si>
    <t xml:space="preserve">Förderung des ökologischen Verhaltens der Mitarbeitenden</t>
  </si>
  <si>
    <t xml:space="preserve">Promozione del comportamento ecologico dei collaboratori</t>
  </si>
  <si>
    <t xml:space="preserve">Environmentally-friendly behaviour of staff</t>
  </si>
  <si>
    <t xml:space="preserve">Promoción de la responsabilidad medioambiental de los trabajadores</t>
  </si>
  <si>
    <t xml:space="preserve">Promotion du comportement environnemental des salariés</t>
  </si>
  <si>
    <t xml:space="preserve">Ernährung während der Arbeitszeit</t>
  </si>
  <si>
    <t xml:space="preserve">L'alimentazione durante l'orario di lavoro</t>
  </si>
  <si>
    <t xml:space="preserve">Food during working hours</t>
  </si>
  <si>
    <t xml:space="preserve">Alimentación durante la jornada laboral</t>
  </si>
  <si>
    <t xml:space="preserve">Alimentation pendant les heures de travail</t>
  </si>
  <si>
    <t xml:space="preserve">Mobilität zum Arbeitsplatz</t>
  </si>
  <si>
    <t xml:space="preserve">Mobilità sul posto di lavoro</t>
  </si>
  <si>
    <t xml:space="preserve">Travel to work</t>
  </si>
  <si>
    <t xml:space="preserve">Movilidad sostenible al puesto de trabajo</t>
  </si>
  <si>
    <t xml:space="preserve">Mobilité sur le lieu de travail</t>
  </si>
  <si>
    <t xml:space="preserve">Organisationskultur, Sensibilisierung und unternehmensinterne Prozesse</t>
  </si>
  <si>
    <t xml:space="preserve">Cultura organizzativa, sensibilizzazione all'organizzazione ecologica dei processi</t>
  </si>
  <si>
    <t xml:space="preserve">Organisational culture, cultivating awareness for an environmentally-friendly approach</t>
  </si>
  <si>
    <t xml:space="preserve">Cultura empresarial sostenible y sensibilización con el medio ambiente</t>
  </si>
  <si>
    <t xml:space="preserve">Culture organisationnelle, sensibilisation à la conception ou la mise en œuvre de processus écologiques</t>
  </si>
  <si>
    <t xml:space="preserve">Negativ-Aspekt: Anleitung zur Verschwendung / Duldung unökologischen Verhaltens</t>
  </si>
  <si>
    <t xml:space="preserve">Aspetto negativo: Guida allo spreco / Tolleranza di comportamenti non ecologici</t>
  </si>
  <si>
    <t xml:space="preserve">Negative aspect: guidance on waste/ environmentally damaging practices</t>
  </si>
  <si>
    <t xml:space="preserve">Aspecto negativo: promoción y tolerancia frente a la actitud medioambiental no responsable</t>
  </si>
  <si>
    <t xml:space="preserve">Aspect négatif : Indications sur le gaspillage / la tolérance du comportement non-écologique</t>
  </si>
  <si>
    <t xml:space="preserve">Condivisione delle decisioni e trasparenza in azienda</t>
  </si>
  <si>
    <t xml:space="preserve">Co-determination and transparency within the organisation</t>
  </si>
  <si>
    <t xml:space="preserve">Transparencia y participación democrática interna</t>
  </si>
  <si>
    <t xml:space="preserve">Co-décision interne et transparence</t>
  </si>
  <si>
    <t xml:space="preserve">Innerbetriebliche Transparenz</t>
  </si>
  <si>
    <t xml:space="preserve">Trasparenza in azienda</t>
  </si>
  <si>
    <t xml:space="preserve">Transparency within the organisation</t>
  </si>
  <si>
    <t xml:space="preserve">Transparencia interna</t>
  </si>
  <si>
    <t xml:space="preserve">Transparence interne</t>
  </si>
  <si>
    <t xml:space="preserve">Legitimierung der Führungskräfte</t>
  </si>
  <si>
    <t xml:space="preserve">Legittimazione dei dirigenti</t>
  </si>
  <si>
    <t xml:space="preserve">Legitimation of the management</t>
  </si>
  <si>
    <t xml:space="preserve">Legitimación de la dirección</t>
  </si>
  <si>
    <t xml:space="preserve">Légitimité des gestionnaires ou de l’encadrement</t>
  </si>
  <si>
    <t xml:space="preserve">Mitentscheidung der Mitarbeitenden</t>
  </si>
  <si>
    <t xml:space="preserve">Condivisione delle decisioni da parte dei collaboratori</t>
  </si>
  <si>
    <t xml:space="preserve">Employee co-determination</t>
  </si>
  <si>
    <t xml:space="preserve">Participación de los trabajadores en la toma de decisiones</t>
  </si>
  <si>
    <t xml:space="preserve">Codécision des salariés</t>
  </si>
  <si>
    <t xml:space="preserve">Negativ-Aspekt C4.4: Verhinderung des Betriebsrates</t>
  </si>
  <si>
    <t xml:space="preserve">Aspetto negativo: Impedimento del consiglio aziendale</t>
  </si>
  <si>
    <t xml:space="preserve">Negative aspect: obstruction of works councils</t>
  </si>
  <si>
    <t xml:space="preserve">Aspecto negativo: Impedimiento del comité de empresa</t>
  </si>
  <si>
    <t xml:space="preserve">Aspect négatif : Frein au fonctionnement des instances représentatives du personnel (comité d'entreprise)</t>
  </si>
  <si>
    <t xml:space="preserve">Kund*nnen und Mitunternehmen</t>
  </si>
  <si>
    <t xml:space="preserve">Clienti &amp; concorrenti</t>
  </si>
  <si>
    <t xml:space="preserve">Customers and other companies</t>
  </si>
  <si>
    <t xml:space="preserve">Clientes y otras empresas</t>
  </si>
  <si>
    <t xml:space="preserve">Les clients et entreprises partenaires</t>
  </si>
  <si>
    <t xml:space="preserve">Ethische Kund*innenbeziehungen</t>
  </si>
  <si>
    <t xml:space="preserve">Relazioni etiche con la clientela</t>
  </si>
  <si>
    <t xml:space="preserve">Ethical customer relations</t>
  </si>
  <si>
    <t xml:space="preserve">Actitud ética con los clientes</t>
  </si>
  <si>
    <t xml:space="preserve">Relations éthiques avec les clients</t>
  </si>
  <si>
    <t xml:space="preserve">Menschenwürdige Kommunikation mit Kund*innen</t>
  </si>
  <si>
    <t xml:space="preserve">Comunicazione dignitosa con i clienti</t>
  </si>
  <si>
    <t xml:space="preserve">Respect for human dignity in communication with customers</t>
  </si>
  <si>
    <t xml:space="preserve">Comunicación transparente con los clientes</t>
  </si>
  <si>
    <t xml:space="preserve">Communication décente et digne avec les clients</t>
  </si>
  <si>
    <t xml:space="preserve">Barrierefreiheit</t>
  </si>
  <si>
    <t xml:space="preserve">Assenza di barriere</t>
  </si>
  <si>
    <t xml:space="preserve">Barrier-free access</t>
  </si>
  <si>
    <t xml:space="preserve">Accesibilidad</t>
  </si>
  <si>
    <t xml:space="preserve">Accessibilité</t>
  </si>
  <si>
    <t xml:space="preserve">Negativ-Aspekt: Unethische Werbemaßnahmen</t>
  </si>
  <si>
    <t xml:space="preserve">Aspetto negativo: Misure pubblicitarie non etiche</t>
  </si>
  <si>
    <t xml:space="preserve">Negative aspect: unethical advertising</t>
  </si>
  <si>
    <t xml:space="preserve">Aspecto negativo: publicidad engañosa y acciones comerciales no éticas</t>
  </si>
  <si>
    <t xml:space="preserve">Aspect négatif : Publicité contraire à l'éthique</t>
  </si>
  <si>
    <t xml:space="preserve">Kooperation und Solidarität mit Mitunternehmen</t>
  </si>
  <si>
    <t xml:space="preserve">Cooperazione e solidarietà con i concorrenti</t>
  </si>
  <si>
    <t xml:space="preserve">Cooperation and solidarity with other companies</t>
  </si>
  <si>
    <t xml:space="preserve">Cooperación y solidaridad con otras empresas del sector</t>
  </si>
  <si>
    <t xml:space="preserve">Coopération et solidarité avec les autres entreprises partenaires</t>
  </si>
  <si>
    <t xml:space="preserve">Kooperation mit Mitunternehmen</t>
  </si>
  <si>
    <t xml:space="preserve">Cooperazione con i concorrenti</t>
  </si>
  <si>
    <t xml:space="preserve">Cooperation with other companies</t>
  </si>
  <si>
    <t xml:space="preserve">Cooperación con otras empresas</t>
  </si>
  <si>
    <t xml:space="preserve">Coopération avec des entreprises partenaires</t>
  </si>
  <si>
    <t xml:space="preserve">Solidarität mit Mitunternehmen</t>
  </si>
  <si>
    <t xml:space="preserve">La solidarietà con i concorrenti</t>
  </si>
  <si>
    <t xml:space="preserve">Solidarity with other companies</t>
  </si>
  <si>
    <t xml:space="preserve">Solidaridad con otras empresas</t>
  </si>
  <si>
    <t xml:space="preserve">Solidarité avec les entreprises partenaires</t>
  </si>
  <si>
    <t xml:space="preserve">Negativ-Aspekt D2.3: Missbrauch der Marktmacht gegenüber Mitunternehmen</t>
  </si>
  <si>
    <t xml:space="preserve">Aspetto negativo: Abuso del potere di mercato nei confronti dei concorrenti</t>
  </si>
  <si>
    <t xml:space="preserve">Negative aspect: abuse of market power to the detriment of other companies</t>
  </si>
  <si>
    <t xml:space="preserve">Aspecto negativo: abuso de poder de mercado frente a otras empresas</t>
  </si>
  <si>
    <t xml:space="preserve">Aspect négatif : Abus de pouvoir de marché vis-à-vis des entreprises partenaires</t>
  </si>
  <si>
    <t xml:space="preserve">Ökologische Auswirkung durch Nutzung und Entsorgung von Produkten und Dienstleistungen</t>
  </si>
  <si>
    <t xml:space="preserve">Conseguenze ecologiche dell'utilizzo e dello smaltimento di prodotti e servizi</t>
  </si>
  <si>
    <t xml:space="preserve">Impact on the environment of the use and disposal of products and services</t>
  </si>
  <si>
    <t xml:space="preserve">Impacto medioambiental del uso y de la gestión de residuos de los productos y servicios</t>
  </si>
  <si>
    <t xml:space="preserve">Impact écologique par l'utilisation et l'élimination de produits et services</t>
  </si>
  <si>
    <t xml:space="preserve">Ökologisches Kosten-Nutzen-Verhältnis von Produkten und Dienstleistungen (Effizienz und Konsistenz)</t>
  </si>
  <si>
    <t xml:space="preserve">Rapporto ecologico costi/ benefici di prodotti e servizi (efficienza e consistenza)</t>
  </si>
  <si>
    <t xml:space="preserve">Environmental cost-benefit ration of products and services (efficiency and consistency) </t>
  </si>
  <si>
    <t xml:space="preserve">Relación coste-beneficio medioambiental de productos y ervicios (eficiencia y consistencia)</t>
  </si>
  <si>
    <t xml:space="preserve">Rapport coût-bénéfice écologique des produits et services (efficacité et cohérence)</t>
  </si>
  <si>
    <t xml:space="preserve">Maßvolle Nutzung von Produkten und Dienstleistungen (Suffizienz)</t>
  </si>
  <si>
    <t xml:space="preserve">Utilizzo moderato di prodotti e servizi (sufficienza)</t>
  </si>
  <si>
    <t xml:space="preserve">Moderate use of products and services (sufficiency)</t>
  </si>
  <si>
    <t xml:space="preserve">Uso moderado de productos y servicios (suficiencia)</t>
  </si>
  <si>
    <t xml:space="preserve">Utilisation modérée des produits et services (suffisance)</t>
  </si>
  <si>
    <t xml:space="preserve">Negativ-Aspekt: Bewusste Inkaufnahme unverhältnismäßiger, ökologischer Auswirkungen</t>
  </si>
  <si>
    <t xml:space="preserve">Aspetto negativo: Accettazione consapevole di conseguenze ecologiche spropositate</t>
  </si>
  <si>
    <t xml:space="preserve">Negative aspect: wilful disregard of disproportionate environmental impacts</t>
  </si>
  <si>
    <t xml:space="preserve">Aspecto negativo: tolerancia frente al impacto medioambiental desproporcionado y consciente</t>
  </si>
  <si>
    <t xml:space="preserve">Aspect négatif : Acceptation consciente d'effets écologiques disproportionnés</t>
  </si>
  <si>
    <t xml:space="preserve">Kund*innen-Mitwirkung und Produkttransparenz</t>
  </si>
  <si>
    <t xml:space="preserve">Partecipazione dei clienti e trasparenza dei prodotti</t>
  </si>
  <si>
    <t xml:space="preserve">Customer participation and product transparency</t>
  </si>
  <si>
    <t xml:space="preserve">Participación de los clientes y transparencia de producto</t>
  </si>
  <si>
    <t xml:space="preserve">Implication et participation du client et transparence du produit</t>
  </si>
  <si>
    <t xml:space="preserve">Kund*innen-Mitwirkung, gemeinsame Produktentwicklung und Marktforschung</t>
  </si>
  <si>
    <t xml:space="preserve">Partecipazione dei clienti, sviluppo comune dei prodotti e ricerca di mercato</t>
  </si>
  <si>
    <t xml:space="preserve">Customer participation, joint product development and market research</t>
  </si>
  <si>
    <t xml:space="preserve">Participación de los clientes en la toma de decisiones, desarrollo de producto e investigación de mercado</t>
  </si>
  <si>
    <t xml:space="preserve">Participation des clients, développement conjoint de produits et des études de marché</t>
  </si>
  <si>
    <t xml:space="preserve">Produkttransparenz</t>
  </si>
  <si>
    <t xml:space="preserve">Trasparenza dei prodotti</t>
  </si>
  <si>
    <t xml:space="preserve">Product transparency</t>
  </si>
  <si>
    <t xml:space="preserve">Transparencia de producto</t>
  </si>
  <si>
    <t xml:space="preserve">Transparence des produits</t>
  </si>
  <si>
    <t xml:space="preserve">Negativ-Aspekt: Kein Ausweis von Gefahrenstoffen</t>
  </si>
  <si>
    <t xml:space="preserve">Aspetto negativo: Mancata indicazione di sostanze pericolose</t>
  </si>
  <si>
    <t xml:space="preserve">Negative aspect: non-disclosure of hazardous substances</t>
  </si>
  <si>
    <t xml:space="preserve">Aspecto negativo: no declaración sobre sustancias/mercancías peligrosas</t>
  </si>
  <si>
    <t xml:space="preserve">Aspect négatif : Pas d'identification des substances dangereuses</t>
  </si>
  <si>
    <t xml:space="preserve">Gesellschaftliches Umfeld</t>
  </si>
  <si>
    <t xml:space="preserve">Contesto sociale</t>
  </si>
  <si>
    <t xml:space="preserve">Social environment</t>
  </si>
  <si>
    <t xml:space="preserve">Entorno social</t>
  </si>
  <si>
    <t xml:space="preserve">Environnement social</t>
  </si>
  <si>
    <t xml:space="preserve">Sinn und gesellschaftliche Wirkung der Produkte und Dienstleistungen</t>
  </si>
  <si>
    <t xml:space="preserve">Senso e impatto dei prodotti e servizi sulla società</t>
  </si>
  <si>
    <t xml:space="preserve">Purpose of products and services and their effects on society</t>
  </si>
  <si>
    <t xml:space="preserve">Propósito e impacto positivo de los productos y servicios</t>
  </si>
  <si>
    <t xml:space="preserve">Sens et impact social des produits et services</t>
  </si>
  <si>
    <t xml:space="preserve">Produkte und Dienstleistungen decken den Grundbedarf und dienen dem guten Leben</t>
  </si>
  <si>
    <t xml:space="preserve">Prodotti e servizi coprono il fabbisogno di base e sono utili a una buona vita</t>
  </si>
  <si>
    <t xml:space="preserve">Products and services should cover basic needs and contribute to a good life</t>
  </si>
  <si>
    <t xml:space="preserve">Productos y servicios que cubren las necesidades básicas y mejoran la calidad de vida</t>
  </si>
  <si>
    <t xml:space="preserve">Les produits et services couvrent les besoins de base et contribuent à rendre la vie saine et simple</t>
  </si>
  <si>
    <t xml:space="preserve">Gesellschaftliche Wirkung der Produkte und Dienstleistungen</t>
  </si>
  <si>
    <t xml:space="preserve">Impatto dei prodotti e servizi sulla società</t>
  </si>
  <si>
    <t xml:space="preserve">Social impact of products and services</t>
  </si>
  <si>
    <t xml:space="preserve">Impacto social de los productos y servicios</t>
  </si>
  <si>
    <t xml:space="preserve">Impact social des produits et services</t>
  </si>
  <si>
    <t xml:space="preserve">Negativ-Aspekt: Menschenunwürdige Produkte und Dienstleistungen</t>
  </si>
  <si>
    <t xml:space="preserve">Aspetto negativo: Prodotti e servizi disumani</t>
  </si>
  <si>
    <t xml:space="preserve">Negative aspect: unethical and unfit products and services</t>
  </si>
  <si>
    <t xml:space="preserve">Aspecto negativo: productos y servicios que vulneran la dignidad humana</t>
  </si>
  <si>
    <t xml:space="preserve">Aspect négatif : Produits et services indignes</t>
  </si>
  <si>
    <t xml:space="preserve">Beitrag zum Gemeinwesen</t>
  </si>
  <si>
    <t xml:space="preserve">Contributo per la collettività</t>
  </si>
  <si>
    <t xml:space="preserve">Contribution to the community</t>
  </si>
  <si>
    <t xml:space="preserve">Contribución a la comunidad</t>
  </si>
  <si>
    <t xml:space="preserve">Contribution à la communauté, au collectif, au bien commun</t>
  </si>
  <si>
    <t xml:space="preserve">Steuern und Sozialabgaben</t>
  </si>
  <si>
    <t xml:space="preserve">Imposte e oneri sociali</t>
  </si>
  <si>
    <t xml:space="preserve">Taxes and social security contributions</t>
  </si>
  <si>
    <t xml:space="preserve">Impuestos y prestaciones sociales</t>
  </si>
  <si>
    <t xml:space="preserve">Impôts et cotisations sociales</t>
  </si>
  <si>
    <t xml:space="preserve">Freiwillige Beiträge zur Stärkung des Gemeinwesens</t>
  </si>
  <si>
    <t xml:space="preserve">Contributi volontari per rafforzare la collettività</t>
  </si>
  <si>
    <t xml:space="preserve">Voluntary contributions that strengthen society</t>
  </si>
  <si>
    <t xml:space="preserve">Contribución voluntaria a la comunidad</t>
  </si>
  <si>
    <t xml:space="preserve">Contributions volontaires à la construction communautaire ou au bien commun</t>
  </si>
  <si>
    <t xml:space="preserve">Negativ-Aspekt: Illegitime Steuervermeidung</t>
  </si>
  <si>
    <t xml:space="preserve">Aspetto negativo: Evasione fiscale illecita</t>
  </si>
  <si>
    <t xml:space="preserve">Negative aspect: inappropriate non-payment of tax</t>
  </si>
  <si>
    <t xml:space="preserve">Aspecto negativo: elusión y evasión fiscal</t>
  </si>
  <si>
    <t xml:space="preserve">Aspect négatif : Évasion fiscale illégitime</t>
  </si>
  <si>
    <t xml:space="preserve">Negativ-Aspekt: Mangelnde Korruptionsprävention</t>
  </si>
  <si>
    <t xml:space="preserve">Aspetto negativo: Mancata prevenzione della corruzione</t>
  </si>
  <si>
    <t xml:space="preserve">Negative aspect: no anti-corruption policy</t>
  </si>
  <si>
    <t xml:space="preserve">Aspecto negativo: falta de prevención frente a la corrupción</t>
  </si>
  <si>
    <t xml:space="preserve">Aspect négatif : Manque de prévention de la corruption</t>
  </si>
  <si>
    <t xml:space="preserve">Reduktion ökologischer Auswirkungen</t>
  </si>
  <si>
    <t xml:space="preserve">Riduzione delle conseguenze ecologiche</t>
  </si>
  <si>
    <t xml:space="preserve">Reduction of environmental impact</t>
  </si>
  <si>
    <t xml:space="preserve">Reducción del impacto medioambiental</t>
  </si>
  <si>
    <t xml:space="preserve">Réduction des impacts écologiques</t>
  </si>
  <si>
    <t xml:space="preserve">Absolute Auswirkungen / Management &amp; Strategie</t>
  </si>
  <si>
    <t xml:space="preserve">Conseguenze assolute / Management &amp; strategia</t>
  </si>
  <si>
    <t xml:space="preserve">Absolute impact and management strategy</t>
  </si>
  <si>
    <t xml:space="preserve">Impacto medioambiental / Gestión y estrategia</t>
  </si>
  <si>
    <t xml:space="preserve">Impact absolu / Gestion et stratégie</t>
  </si>
  <si>
    <t xml:space="preserve">Relative Auswirkungen</t>
  </si>
  <si>
    <t xml:space="preserve">Conseguenze relative</t>
  </si>
  <si>
    <t xml:space="preserve">Relative impact</t>
  </si>
  <si>
    <t xml:space="preserve">Impacto relativo</t>
  </si>
  <si>
    <t xml:space="preserve">Effets relatifs</t>
  </si>
  <si>
    <t xml:space="preserve">Negativ-Aspekt: Verstöße gegen Umweltauflagen sowie unangemessene Umweltbelastungen</t>
  </si>
  <si>
    <t xml:space="preserve">Aspetto negativo: Violazioni dei requisiti ambientali e impatto inadeguato sull'ambiente</t>
  </si>
  <si>
    <t xml:space="preserve">Negative aspect: infringement of environmental regulations and disproportionate environmental pollution</t>
  </si>
  <si>
    <t xml:space="preserve">Aspecto negativo: infracción de la normativa medioambiental e impacto desproporcionado</t>
  </si>
  <si>
    <t xml:space="preserve">Aspect négatif : Violations des réglementations environnementales et impact environnemental inapproprié</t>
  </si>
  <si>
    <t xml:space="preserve">Transparenz und gesellschaftliche Mitentscheidung</t>
  </si>
  <si>
    <t xml:space="preserve">Trasparenza e condivisione sociale delle decisioni</t>
  </si>
  <si>
    <t xml:space="preserve">Social co-determination and transparency</t>
  </si>
  <si>
    <t xml:space="preserve">Transparencia y participación democrática del entorno social</t>
  </si>
  <si>
    <t xml:space="preserve">Transparence et co-décision sociale</t>
  </si>
  <si>
    <t xml:space="preserve">Transparenz</t>
  </si>
  <si>
    <t xml:space="preserve">Trasparenza</t>
  </si>
  <si>
    <t xml:space="preserve">Transparency</t>
  </si>
  <si>
    <t xml:space="preserve">Transparencia</t>
  </si>
  <si>
    <t xml:space="preserve">Transparence</t>
  </si>
  <si>
    <t xml:space="preserve">Gesellschaftliche Mitbestimmung</t>
  </si>
  <si>
    <t xml:space="preserve">Condivisione sociale delle decisioni</t>
  </si>
  <si>
    <t xml:space="preserve">Social participation</t>
  </si>
  <si>
    <t xml:space="preserve">Participación en la toma de decisiones el entorno social</t>
  </si>
  <si>
    <t xml:space="preserve">Co-décision sociale</t>
  </si>
  <si>
    <t xml:space="preserve">Negativ-Aspekt: Förderung von Intransparenz und bewusste Fehlinformation</t>
  </si>
  <si>
    <t xml:space="preserve">Aspetto negativo: Promozione di poca trasparenza e informazioni consapevolmente errate</t>
  </si>
  <si>
    <t xml:space="preserve">Negative aspect: lack of transparency and wilful misinformation</t>
  </si>
  <si>
    <t xml:space="preserve">Aspecto negativo: manipulación de la información y falta de transparencia</t>
  </si>
  <si>
    <t xml:space="preserve">Aspect négatif : Promotion délibérée de la non-transparence et de la désinformation</t>
  </si>
  <si>
    <t xml:space="preserve">Fakten zum Unternehmen</t>
  </si>
  <si>
    <t xml:space="preserve">Fatti sull’azienda</t>
  </si>
  <si>
    <t xml:space="preserve">Company details</t>
  </si>
  <si>
    <t xml:space="preserve">Datos de la empresa</t>
  </si>
  <si>
    <t xml:space="preserve">Détails sur l'entreprise</t>
  </si>
  <si>
    <t xml:space="preserve">Bitte füllen Sie die farblich markierten Felder mit Daten für den Bilanzierungszeitraum, meist das Geschäftsjahr, aus. Falls der Bilanzierungszeitraum länger als 1 Jahr ist können Sie auch ein Geschäftsjahr aus dem Bilanzierungszeitraum auswählen. Sollten dennoch keine konkreten Daten vorliegen bitte um grobe Schätzungen, da die Berechnung sonst fehlerhaft ist. </t>
  </si>
  <si>
    <t xml:space="preserve">Si prega di compilare i campi con codice colore con i dati per il periodo contabile, di solito l'anno fiscale. Se il periodo contabile supera 1 anno, è anche possibile selezionare un anno fiscale dal periodo contabile. Se non ci sono dati concreti, si prega di fornire stime approssimative, altrimenti il ​​calcolo sarà errato.</t>
  </si>
  <si>
    <t xml:space="preserve">Fill in the highlighted fields below. Where detailed information is not available, please enter estimates, otherwise the calculation will not be accurate</t>
  </si>
  <si>
    <t xml:space="preserve">Rellene los campos marcados con color. Si no dispusiera de algunos datos en concreto, estime su valor. Los datos son necesarios para que la hoja de cálculo funcione correctamente.</t>
  </si>
  <si>
    <t xml:space="preserve">S'il vous plaît, remplissez les champs surlignés(sélectionnés) en couleurs avec des données pour la période d'établissement du bilan, le plus souvent l'année de l'exercice. Au cas où la période d'établissement du bilan est plus longue que 1 an, vous pouvez aussi choisir un exercice parmi la période d'établissement du bilan. Si aucune donnée concrète n'est présente, indiquez alors de grossières estimations, autrement le calcul sera faux.</t>
  </si>
  <si>
    <t xml:space="preserve">bitte einfügen</t>
  </si>
  <si>
    <t xml:space="preserve">Inserisca per favore</t>
  </si>
  <si>
    <t xml:space="preserve">Escriba</t>
  </si>
  <si>
    <t xml:space="preserve">Remplir s'il vous plaît</t>
  </si>
  <si>
    <t xml:space="preserve">Bitte Auswählen</t>
  </si>
  <si>
    <t xml:space="preserve">Selezioni per favore</t>
  </si>
  <si>
    <t xml:space="preserve">Please choose</t>
  </si>
  <si>
    <t xml:space="preserve">Seleccione del catálogo</t>
  </si>
  <si>
    <t xml:space="preserve">Choisir s'il vous plaît</t>
  </si>
  <si>
    <t xml:space="preserve">Beschreibung des Gewichtungsmodelles</t>
  </si>
  <si>
    <t xml:space="preserve">Descrizione del modello di pesatura</t>
  </si>
  <si>
    <t xml:space="preserve">Description of the weighting model</t>
  </si>
  <si>
    <t xml:space="preserve">Descripción del método de ponderación</t>
  </si>
  <si>
    <t xml:space="preserve">Description du modèle de pondération</t>
  </si>
  <si>
    <t xml:space="preserve">Themen</t>
  </si>
  <si>
    <t xml:space="preserve">Temi</t>
  </si>
  <si>
    <t xml:space="preserve">Themes</t>
  </si>
  <si>
    <t xml:space="preserve">Temas</t>
  </si>
  <si>
    <t xml:space="preserve">Sujets</t>
  </si>
  <si>
    <t xml:space="preserve">Werte ►
Berührungsgruppe ▼</t>
  </si>
  <si>
    <t xml:space="preserve">Valori ►
Gruppi d‘interesse ▼</t>
  </si>
  <si>
    <t xml:space="preserve">Values ►
Stakekolders ▼</t>
  </si>
  <si>
    <t xml:space="preserve">Valores ►
Grupos deinterés ▼</t>
  </si>
  <si>
    <t xml:space="preserve">Valeurs ►
Parties prenantes ▼</t>
  </si>
  <si>
    <t xml:space="preserve">Berührungsgruppen &amp; Werte</t>
  </si>
  <si>
    <t xml:space="preserve">Gruppi d‘interesse &amp; valori</t>
  </si>
  <si>
    <t xml:space="preserve">Stakekolders &amp; values</t>
  </si>
  <si>
    <t xml:space="preserve">Grupos de interés ▼</t>
  </si>
  <si>
    <t xml:space="preserve">Parties prenantes et valeurs</t>
  </si>
  <si>
    <t xml:space="preserve">Allgemein</t>
  </si>
  <si>
    <t xml:space="preserve">Generale</t>
  </si>
  <si>
    <t xml:space="preserve">General</t>
  </si>
  <si>
    <t xml:space="preserve">Général</t>
  </si>
  <si>
    <t xml:space="preserve">Anmerkungen</t>
  </si>
  <si>
    <t xml:space="preserve">Note</t>
  </si>
  <si>
    <t xml:space="preserve">Notes</t>
  </si>
  <si>
    <t xml:space="preserve">Notas aclaratorias</t>
  </si>
  <si>
    <t xml:space="preserve"> (für EPUs skaliert)</t>
  </si>
  <si>
    <t xml:space="preserve"> (scalato per imprese individuali)</t>
  </si>
  <si>
    <t xml:space="preserve"> (scaled for STs)</t>
  </si>
  <si>
    <t xml:space="preserve">(ponderado para empresas unipersonales)</t>
  </si>
  <si>
    <t xml:space="preserve">Echelonné pour les entreprises individuelles ou unipersonnelles </t>
  </si>
  <si>
    <t xml:space="preserve"> (für EPUs nicht relevant)</t>
  </si>
  <si>
    <t xml:space="preserve"> (non rilevante per imprese di un collaboratore)</t>
  </si>
  <si>
    <t xml:space="preserve"> (not relevant for STs)</t>
  </si>
  <si>
    <t xml:space="preserve">(no aplica en empresas unipersonales)</t>
  </si>
  <si>
    <t xml:space="preserve">Non pertinent pour les entreprises individuelles ou unipersonelles</t>
  </si>
  <si>
    <t xml:space="preserve">Anmerkung: Dies ist kein Testat.</t>
  </si>
  <si>
    <t xml:space="preserve">Annotazione: Questo non è un attestato.</t>
  </si>
  <si>
    <t xml:space="preserve">Note: This is not a certificate.</t>
  </si>
  <si>
    <t xml:space="preserve">Nota: esto no es un certificado.</t>
  </si>
  <si>
    <t xml:space="preserve">Notez bien : Ce n'est pas un certificat</t>
  </si>
  <si>
    <t xml:space="preserve">GEMEINWOHL-MATRIX</t>
  </si>
  <si>
    <t xml:space="preserve">MATRICE DEL BENE COMUNE</t>
  </si>
  <si>
    <t xml:space="preserve">COMMON GOOD MATRIX</t>
  </si>
  <si>
    <t xml:space="preserve">MATRIZ DEL BIEN COMÚN</t>
  </si>
  <si>
    <t xml:space="preserve">MATRICE DE L'ECONOMIE POUR LE BIEN COMMUN</t>
  </si>
  <si>
    <t xml:space="preserve"> von </t>
  </si>
  <si>
    <t xml:space="preserve"> di </t>
  </si>
  <si>
    <t xml:space="preserve">of</t>
  </si>
  <si>
    <t xml:space="preserve">de</t>
  </si>
  <si>
    <t xml:space="preserve"> Punkten</t>
  </si>
  <si>
    <t xml:space="preserve"> punti</t>
  </si>
  <si>
    <t xml:space="preserve"> points</t>
  </si>
  <si>
    <t xml:space="preserve"> Puntos</t>
  </si>
  <si>
    <t xml:space="preserve">points</t>
  </si>
  <si>
    <t xml:space="preserve">Menschenwürde</t>
  </si>
  <si>
    <t xml:space="preserve">Dignità umana</t>
  </si>
  <si>
    <t xml:space="preserve">Human dignity</t>
  </si>
  <si>
    <t xml:space="preserve">Dignidad humana</t>
  </si>
  <si>
    <t xml:space="preserve">Dignité humaine</t>
  </si>
  <si>
    <t xml:space="preserve">Solidarität &amp; Gerechtigkeit</t>
  </si>
  <si>
    <t xml:space="preserve">Solidarietà &amp; giustizia</t>
  </si>
  <si>
    <t xml:space="preserve">Solidarity &amp; social justice</t>
  </si>
  <si>
    <t xml:space="preserve">Solidaridad y justicia</t>
  </si>
  <si>
    <t xml:space="preserve">Solidarité &amp; équité sociale</t>
  </si>
  <si>
    <t xml:space="preserve">Ökologische Nachhaltigkeit</t>
  </si>
  <si>
    <t xml:space="preserve">Sostenibilità ambientale</t>
  </si>
  <si>
    <t xml:space="preserve">Environmental sustainability</t>
  </si>
  <si>
    <t xml:space="preserve">Sostenibilidad medioambiental</t>
  </si>
  <si>
    <t xml:space="preserve">Durabilité écologique</t>
  </si>
  <si>
    <t xml:space="preserve">Transparenz &amp; Mitentscheidung</t>
  </si>
  <si>
    <t xml:space="preserve">Trasparenza &amp; cogestione</t>
  </si>
  <si>
    <t xml:space="preserve">Transparency &amp; co-determination</t>
  </si>
  <si>
    <t xml:space="preserve">Transparencia y participación democrática</t>
  </si>
  <si>
    <t xml:space="preserve">Transparence &amp; co-décision</t>
  </si>
  <si>
    <t xml:space="preserve">Gemeinwohl-Stern für</t>
  </si>
  <si>
    <t xml:space="preserve">Stella del Bene Comune per</t>
  </si>
  <si>
    <t xml:space="preserve">Common Good Star for</t>
  </si>
  <si>
    <t xml:space="preserve">Diagrama de araña de</t>
  </si>
  <si>
    <t xml:space="preserve">Etoile pour le Bien Commun</t>
  </si>
  <si>
    <t xml:space="preserve">BILANZ-ÜBERSICHT</t>
  </si>
  <si>
    <t xml:space="preserve">QUADRO DEL BILANCIO</t>
  </si>
  <si>
    <t xml:space="preserve">BALANCE OVERVIEW</t>
  </si>
  <si>
    <t xml:space="preserve">VISTA GLOBAL DEL BALANCE</t>
  </si>
  <si>
    <t xml:space="preserve">APERÇU DU BILAN</t>
  </si>
  <si>
    <t xml:space="preserve">MITBESTIMMUNG UND TRANSPARENZ</t>
  </si>
  <si>
    <t xml:space="preserve">COGESTIONE E TRASPARENZA</t>
  </si>
  <si>
    <t xml:space="preserve">TRANSPARENCY &amp; CO-DETERMINATION</t>
  </si>
  <si>
    <t xml:space="preserve">TRANSPARENCIA Y PARTICIPACIÓN DEMOCRÁTICA</t>
  </si>
  <si>
    <t xml:space="preserve">TRANSPARENCE &amp; CO-DECISION</t>
  </si>
  <si>
    <t xml:space="preserve">MENSCHENWÜRDE</t>
  </si>
  <si>
    <t xml:space="preserve">DIGNITA’ UMANA</t>
  </si>
  <si>
    <t xml:space="preserve">HUMAN DIGNITY</t>
  </si>
  <si>
    <t xml:space="preserve">DIGNIDAD HUMANA</t>
  </si>
  <si>
    <t xml:space="preserve">DIGNITÉ HUMAINE</t>
  </si>
  <si>
    <t xml:space="preserve">SOLIDARITÄT</t>
  </si>
  <si>
    <t xml:space="preserve">SOLIDARIETA’</t>
  </si>
  <si>
    <t xml:space="preserve">SOLIDARITY</t>
  </si>
  <si>
    <t xml:space="preserve">SOLIDARIDAD</t>
  </si>
  <si>
    <t xml:space="preserve">SOLIDARITÉ</t>
  </si>
  <si>
    <t xml:space="preserve">ÖKOLOGISCHE NACHHALTIGKEIT</t>
  </si>
  <si>
    <t xml:space="preserve">SOSTENIBILITA’ AMBIENTALE</t>
  </si>
  <si>
    <t xml:space="preserve">ENVIRONMENTAL SUSTAINABILITY</t>
  </si>
  <si>
    <t xml:space="preserve">SOSTENIBILIDAD MEDIOAMBIENTAL</t>
  </si>
  <si>
    <t xml:space="preserve">DURABILITÉ ÉCOLOGIQUE</t>
  </si>
  <si>
    <t xml:space="preserve">SOZIALE GERECHTIGKEIT</t>
  </si>
  <si>
    <t xml:space="preserve">GIUSTIZIA SOCIALE</t>
  </si>
  <si>
    <t xml:space="preserve">SOCIAL JUSTICE</t>
  </si>
  <si>
    <t xml:space="preserve">JUSTICIA SOCIAL</t>
  </si>
  <si>
    <t xml:space="preserve">EQUITE SOCIALE</t>
  </si>
  <si>
    <t xml:space="preserve">SUMME</t>
  </si>
  <si>
    <t xml:space="preserve">SOMMA</t>
  </si>
  <si>
    <t xml:space="preserve">TOTAL</t>
  </si>
  <si>
    <t xml:space="preserve">(für EPUs skaliert)</t>
  </si>
  <si>
    <t xml:space="preserve">(valori scalati per l’impresa di 1 persona)</t>
  </si>
  <si>
    <t xml:space="preserve">(scaled for STs)</t>
  </si>
  <si>
    <t xml:space="preserve">Dokumentation der Bewertung</t>
  </si>
  <si>
    <t xml:space="preserve">Documentazione della valutazione</t>
  </si>
  <si>
    <t xml:space="preserve">Documentation of assessment</t>
  </si>
  <si>
    <t xml:space="preserve">Documentación de la puntuación</t>
  </si>
  <si>
    <t xml:space="preserve">Documentation de l'évaluation</t>
  </si>
  <si>
    <t xml:space="preserve">Selbsteinschätzung</t>
  </si>
  <si>
    <t xml:space="preserve">Valutazione propria</t>
  </si>
  <si>
    <t xml:space="preserve">Self-assessment</t>
  </si>
  <si>
    <t xml:space="preserve">Autoevaluación</t>
  </si>
  <si>
    <t xml:space="preserve">Auto-évaluation</t>
  </si>
  <si>
    <t xml:space="preserve">Peer-Evaluation</t>
  </si>
  <si>
    <t xml:space="preserve">Valutazione peer</t>
  </si>
  <si>
    <t xml:space="preserve">Peer-assessment</t>
  </si>
  <si>
    <t xml:space="preserve">Evaluación peer</t>
  </si>
  <si>
    <t xml:space="preserve">Evaluation par des pairs</t>
  </si>
  <si>
    <t xml:space="preserve">Provisorische Bewertung des externen Audits</t>
  </si>
  <si>
    <t xml:space="preserve">Valutazione esterna bozza</t>
  </si>
  <si>
    <t xml:space="preserve">Provisional audit assessment</t>
  </si>
  <si>
    <t xml:space="preserve">Puntuación provisional de la auditoría externa</t>
  </si>
  <si>
    <t xml:space="preserve">Evaluation provisoire de l'audit externe</t>
  </si>
  <si>
    <t xml:space="preserve">Definitive Bewertung externen Audits /Peer</t>
  </si>
  <si>
    <t xml:space="preserve">Valutazione definitiva audit esterno/Peer</t>
  </si>
  <si>
    <t xml:space="preserve">Agreed audit assessment</t>
  </si>
  <si>
    <t xml:space="preserve">Puntuación definitiva de la auditoría externa/Peer</t>
  </si>
  <si>
    <t xml:space="preserve">évaluation définitive  de l'audit externe ou du groupe de pairs</t>
  </si>
  <si>
    <t xml:space="preserve">Passwort für den Schutz der Tabellen: „ebc“</t>
  </si>
  <si>
    <t xml:space="preserve">Password per la protezione delle tabelle: „ebc“</t>
  </si>
  <si>
    <t xml:space="preserve">Password for EXCEL sheet protection "ebc"</t>
  </si>
  <si>
    <t xml:space="preserve">Contraseña de esta hoja de cálculo: “ebc”</t>
  </si>
  <si>
    <t xml:space="preserve">Mot de passe pour la protection de la feuille Excel "ebc"</t>
  </si>
  <si>
    <t xml:space="preserve">alta</t>
  </si>
  <si>
    <t xml:space="preserve">media</t>
  </si>
  <si>
    <t xml:space="preserve">baja</t>
  </si>
  <si>
    <t xml:space="preserve">non applicabile</t>
  </si>
  <si>
    <t xml:space="preserve">non applicable</t>
  </si>
  <si>
    <t xml:space="preserve">no aplica</t>
  </si>
  <si>
    <t xml:space="preserve">Gewichtung geändert. Ursprünglich </t>
  </si>
  <si>
    <t xml:space="preserve">Peso cambiato. Originale </t>
  </si>
  <si>
    <t xml:space="preserve">Weighting changed. Original </t>
  </si>
  <si>
    <t xml:space="preserve">Ponderación cambiada. Original </t>
  </si>
  <si>
    <t xml:space="preserve">Pondération modifiée. Original</t>
  </si>
  <si>
    <t xml:space="preserve">Werte-Stern für </t>
  </si>
  <si>
    <t xml:space="preserve">Stella dei valori per </t>
  </si>
  <si>
    <t xml:space="preserve">Values star for </t>
  </si>
  <si>
    <t xml:space="preserve">Diagrama de araña. Valores de</t>
  </si>
  <si>
    <t xml:space="preserve">Etoile de valeurs pour </t>
  </si>
  <si>
    <t xml:space="preserve">Gruppen-Stern für </t>
  </si>
  <si>
    <t xml:space="preserve">Stella dei gruppi per </t>
  </si>
  <si>
    <t xml:space="preserve">Group star for </t>
  </si>
  <si>
    <t xml:space="preserve">Diagrama de araña. Grupos de interés de</t>
  </si>
  <si>
    <t xml:space="preserve">Etoile de groupes pour</t>
  </si>
  <si>
    <t xml:space="preserve">Themen-Stern für </t>
  </si>
  <si>
    <t xml:space="preserve">Stella dei temi per </t>
  </si>
  <si>
    <t xml:space="preserve">Theme star for </t>
  </si>
  <si>
    <t xml:space="preserve">Diagrama de araña. Temas de</t>
  </si>
  <si>
    <t xml:space="preserve">Etoile de thèmes pour </t>
  </si>
  <si>
    <t xml:space="preserve">Die für alle Unternehmen gleiche und starre Punkteverteilung in der Matrix hat in den vergangenen Jahren innerhalb des Matrix-Entwicklungs-Team (MET) für viele Diskussionen gesorgt. Auch von außerhalb sind viele Fragen und kritische Rückmeldungen an uns herangetragen worden. Bislang war die Punkteverteilung auf die Themen mit Ausnahme von Ein-Personen-Unternehmen für alle Unternehmen gleich - unabhängig von der Unternehmensgröße, Branche und anderen Rahmenbedingungen (regionaler Hintergrund, B2B versus B2C, etc.). Relevanz und WirkungImpact auf das Gemeinwohl sind jedoch von diesen Determinanten nicht unabhängig. Beispielsweise ist die Lieferkette eines Elektronik-Handelsunternehmen (A1-A4) weitaus bedeutender als für ein Bergbauunternehmen, welches wiederum u.a. sehr große Effekte bei seinen direkten ökologischen Auswirkungen hat (E3). Das neue Gewichtungsmodell soll diesen Gedanken Rechnung tragen und die wesentlichen Faktoren stärker akzentuieren. Im Prozess wurden Meinungen der Bewegung im Rahmen einer Umfrage eingeholt und eine klare Präferenz für eine neue Herangehensweise rückgemeldet.</t>
  </si>
  <si>
    <t xml:space="preserve">La stessa distribuzione di punti nella matrice, che è la stessa per tutte le imprese, ha suscitato molto dibattito all'interno del Gruppo di Sviluppo della Matrice (GSM) negli ultimi anni. Anche dall'esterno molte domande e feedback critici ci sono stati portati. Fino ad ora, la distribuzione dei punti sui problemi con l'eccezione di imprese individuali stesse per tutte le aziende - indipendentemente dalle dimensioni dell'azienda, l'industria, e le altre condizioni (di fondo regionale, B2B B2C contro, etc.). Rilevanza e impatto L'impatto sul bene comune, tuttavia, non è indipendente da questi fattori determinanti. Ad esempio, la catena di approvvigionamento di una società commerciale di elettronica (A1-A4) è molto più significativa che per una società mineraria, che a ha effetti molto grandi sul suo impatto ambientale diretto (E3). Il nuovo modello di ponderazione dovrebbe riflettere questa idea e accentuare maggiormente i fattori chiave. Durante il processo, le opinioni sul movimento sono state raccolte attraverso un sondaggio e una chiara preferenza per un nuovo approccio è stata confermata.</t>
  </si>
  <si>
    <t xml:space="preserve">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 </t>
  </si>
  <si>
    <t xml:space="preserve">La distribución de la puntuación entre los diferentes temas era igual para cualquier tipo de empresas hasta esta versión. Esta cuestión ha sido debatida en el equipo de desarrollo de la matriz en los últimos años. También hemos recibido muchas preguntas y críticas desde fuera a este respecto. Hasta ahora, la distribución de puntuación era para todas las empresas igual, excepto para empresas unipersonales, independientemente del tamaño de la empresa, el sector y otros factores (región, B2B o B2C, etc.) Sin embargo, la relevancia y el impacto en el Bien Común no son independientes de estas variables. Por ejemplo, si una empresa tiene una cadena de suministro en el sector de la electrónica tendrá mayor relevancia lo relevativo a los temas A1 – A4 que la industria minera, que sin embargo tendrá mucha relevancia en los impactos ambientales directos, tratados en E3. El nuevo método de ponderación tiene en cuenta estas cuestiones y acentúa la importancia de los factores fundamentales. Dentro de este proceso se recopilaron las opiniones del movimiento en una encuesta que dio como resultado una preferencia clara por tratar este tema con un nuevo método.</t>
  </si>
  <si>
    <t xml:space="preserve">La répartition un peu rigide de points équivalents pour toutes les entreprises a été au coeur de nombreuses discussions, au sein de l'équipe de développement de la matrice au cours des années passées. De nombreuses questions et réponses critiques nous ont également été transmises par l'extérieur. Jusqu'ici, la répartition des points sur les thèmes était la même pour toutes les entreprises (à l'exception des entreprises individuelles ou unipersonnelles ), indépendamment de la taille d'entreprise, de la branche et d'autres conditions générales (le contexte régional, B2B versus B2C, etc.). Mais ces variables n'ont vraisemblablement pas d'effet pertinent pour le Bien Commun. Par exemple, la chaîne d'approvisionnement d'une entreprise de vente de matériels électroniques (A1-A4) est probablement plus à considérer que l'entreprise d'industrie minière, qui pourtant, de son côté, laisse entre autres, un énorme impact environnemental direct (E3). Le nouveau modèle de pondération aborde ces questions et met en lumière les facteurs les plus importants. Un sondage sur cette évolution de la matrice a été mené et les commentaires ont clairement favorisé cette nouvelle approche.</t>
  </si>
  <si>
    <t xml:space="preserve">Bei der Gewichtung der 3 Berührungsgruppen A) LieferantInnen, B) InvestorenInnen und C) MitarbeiterInnen werden die Finanzströme zu diesen Berührungsgruppen zur Gewichtung herangezogen: A) Beschaffungsausgaben, B) Gewinn und Finanzierungskosten C) Löhne und Gehälter. Wir sind uns der limitierten Aussagekraft monetärer Größen bewusst und haben auch Ideen, wie dies in Zukunft verbessert werden kann. Gleichzeitig sind diese Zahlen in der  Finanzbilanzen der Unternehmen vorhanden, somit leicht verfügbar und kommen dem Bedürfnis vieler Unternehmen nach Einfachheit nach. Da in den Beschaffungskosten Steuern und Finanzierungskosten entahlten fliessen diese nur zu 50% in die Gewichtung ein. </t>
  </si>
  <si>
    <t xml:space="preserve">Quando ponderate i 3 gruppi di contatto A) Fornitori, B) Investitori e C) Dipendenti, i flussi finanziari verso questi gruppi tattili sono ponderati come segue: A) Spese di approvvigionamento, B) Costi di profitto e di finanziamento C) Retribuzioni. Siamo consapevoli della validità limitata delle risorse monetarie e abbiamo anche idee su come migliorarle in futuro. Allo stesso tempo, queste cifre sono presenti nei conti finanziari delle aziende, quindi facilmente disponibili e soddisfano le esigenze di molte aziende per semplicità. Poiché le tasse e i costi di finanziamento erano inclusi nei costi di approvvigionamento, questi rappresentavano solo il 50% della ponderazione.</t>
  </si>
  <si>
    <t xml:space="preserve">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t>
  </si>
  <si>
    <t xml:space="preserve">En la ponderación de los grupos de interés A) Proveedores, B) Inversores y socios financieros y C) Trabajadores se toman como referencia los flujos financieros. Para A) los gastos en compras, para B) beneficios y costes financieros y para C) la remuneración. Somos conscientes de las limitaciones que presenta el basar esta ponderación en valores monetarios, y por eso estamos desarrollando ideas de como puede mejorarse en el futuro. Por otro lado, los datos requeridos se encuentran en los balances financieros de las empresas, con lo que son datos fácilmente disponibles, siendo más sencillo para las empresas. Como en los gastos de proveedores también se encuentran los impuestos y costes financieros, sólo se tiene en cuenta el 50% de este valor a la hora de hacer la ponderación.</t>
  </si>
  <si>
    <t xml:space="preserve">Pour la pondération de 3 groupes de parties prenantes A) fournisseurs, B) investisseurs et C)collaborateurs, la matrice prend en compte les flux financiers en direction de ces parties prenantes : A) des dépenses d'approvisionnement, B) le bénéfice et les frais financiers C) les rémunérations et salaires. Nous avons conscience de la limite de l'approche financière dans cette matrice et nous prévoyons de réfléchir à son amélioration dans le futur. Cependant, ces informations sont disponibles dans le bilan financier des entreprises et donc rejoint facilement les soucis de simplification de celles-ci. Étant donné que les impôts et les coûts des emprunts sont inclus dans les dépenses générales, ils ne représentent que 50 % de la pondération. </t>
  </si>
  <si>
    <t xml:space="preserve">Auf Ebene der Themen gibt es ebenfalls Kriterien die zur Gewichtung herangezogen werden, beispielsweise Größe oder Branche eines Unternehmen oder Arbeitsrechtslage von Ländern. Für die Branchendefinition wenden wir den International Standard Industrial Classification of All Economic Activities (ISIC Rev.4) der Vereinten Nationen an. Für die Größeneinstufung wird die EU Definition herangezogen. Die nachstehende Tabelle fasst gegenwärtige Gewichtungsfaktoren zusammen (Stand Mai 2017).</t>
  </si>
  <si>
    <t xml:space="preserve">A livello di argomenti ci sono anche i criteri che vengono utilizzati per ponderazione, come la dimensione o il settore di una situazione aziendale o di lavoro i diritti dei paesi. Per la definizione del settore, utilizziamo la classificazione internazionale standard internazionale delle Nazioni Unite di tutte le attività economiche (ISIC Rev.4). La classificazione delle taglie si basa sulla definizione UE. La tabella seguente riepiloga i fattori di ponderazione correnti (a partire da maggio 2017).</t>
  </si>
  <si>
    <t xml:space="preserve">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t>
  </si>
  <si>
    <t xml:space="preserve">En la ponderación de los temas también se tienen en cuenta criterios específicos, como por ejemplo el tamaño, el sector o la región. Para la definición de sectores utilizamos la Clasificación Internacional Industrial Uniforme (ISIC Rev. 4 por sos siglas en inglés) de las naciones unidas. En cuanto al tamaño se utiliza la definición de la UE. La siguiente tabla muestra los factores de ponderación actuales (Mayo 2017) </t>
  </si>
  <si>
    <t xml:space="preserve">Il existe également des critères de pondération des thèmes, par exemple la taille d’une entreprise ou la branche ou la législation locale pertinente en matière d’emploi. Nous utilisons la Classification Internationale standard industrielle des Nations Unies sur toutes les activités économiques (CITI Rév. 4) pour toutes les définitions des branches et secteurs de l’industrie. Pour la classification de la taille des entreprises, nous utilisons les définitions établies par l’UE . Le tableau ci-dessous résume les facteurs de pondération actuels (en date de mai 2017).</t>
  </si>
  <si>
    <t xml:space="preserve">Die Gewichtung dieses Thema’s ist abhängig von den sozialen Risiken der Zulieferbranchen</t>
  </si>
  <si>
    <t xml:space="preserve">La ponderazione di questo tema dipende dai rischi sociali del settore dei fornitori</t>
  </si>
  <si>
    <t xml:space="preserve">The weighting of this theme is dependent on the social risks of the supplier's sector.</t>
  </si>
  <si>
    <t xml:space="preserve">La ponderación de este tema depende de los riesgos sociales en la cadena de suministro.</t>
  </si>
  <si>
    <t xml:space="preserve">La pondération de ce sujet dépend des risques sociaux des branches et secteurs de fournisseurs</t>
  </si>
  <si>
    <t xml:space="preserve">Die Gewichtung dieses Thema’s ist abhängig vom ökologischen Effekt der Branche des Lieferanten (siehe Tabellenblatt “Industry”)</t>
  </si>
  <si>
    <t xml:space="preserve">La ponderazione di questo tema dipende dall'effetto ecologico dell'impresa del fornitore (vedi foglio "impresa")</t>
  </si>
  <si>
    <t xml:space="preserve">The weighting of this theme is dependent on the environmental effect of the supplier's sector (see sheet “Industry").</t>
  </si>
  <si>
    <t xml:space="preserve">La ponderación de este tema depende de los impactos medioambientales del sector al que pertenecen sus proveedores (veáse la hoja “Industry”)</t>
  </si>
  <si>
    <t xml:space="preserve">La pondération de ce sujet dépend des impacts environnementaux de la branche ou du secteur des fournisseurs (voir la partie "industrie")</t>
  </si>
  <si>
    <t xml:space="preserve">Die Gewichtung dieses Thema’s ist abhängig von den Mitbestimmungsrechte in den Ländern der wichtigsten Zulieferbranchen (basierend auf dem ITUC-Index der International Trade Union Confederation)</t>
  </si>
  <si>
    <t xml:space="preserve">La ponderazione di questo tema dipende dai diritti di partecipazione nei paesi dei settori di approvvigionamento più importanti (in base alla CSI-indice della Confederazione internazionale dei sindacati)</t>
  </si>
  <si>
    <t xml:space="preserve">The weighting of this theme is dependent on co-determination rights in the countries of the most important supply industries (based on the ILUC index of the International Labour Union).</t>
  </si>
  <si>
    <t xml:space="preserve">La ponderación de este tema depende de los derechos de participación democrática en los países de los proveedores más importantes (basado en el índice que elabora la confederación sindical internacional ITUC)</t>
  </si>
  <si>
    <t xml:space="preserve">La pondération de ce sujet dépend des droits de co-décision dans les pays des industries d'approvisionnement les plus importantes (sur la base de l’indice ILUC de l’Union Internationale du Travail).</t>
  </si>
  <si>
    <t xml:space="preserve">Die Gewichtung dieses Thema’s ist abhängig von der Relation Umsatz zu Bilanzsumme</t>
  </si>
  <si>
    <t xml:space="preserve">La ponderazione di questo argomento dipende dalla relazione tra fatturato e totale del bilancio</t>
  </si>
  <si>
    <t xml:space="preserve">The weighting of this theme depends on the ratio turnover to the balance sheet total.</t>
  </si>
  <si>
    <t xml:space="preserve">La ponderación de este tema depende del cociente Facturación / Balance (financiero)</t>
  </si>
  <si>
    <t xml:space="preserve">La pondération de ce thème dépend du ratio du chiffre d’affaires par rapport au total du bilan.</t>
  </si>
  <si>
    <t xml:space="preserve">Die Gewichtung dieses Thema’s ist abhängig von der Relation Gewinn zu Umsatz </t>
  </si>
  <si>
    <t xml:space="preserve">La ponderazione di questo argomento dipende dalla relazione tra utile e fatturato</t>
  </si>
  <si>
    <t xml:space="preserve">The weighting of this theme depends on the ratio profit to turnover</t>
  </si>
  <si>
    <t xml:space="preserve">La ponderación de este tema depende del cociente beneficio neto / facturación </t>
  </si>
  <si>
    <t xml:space="preserve">La pondération de ce thème dépend du ratio profit/chiffre d’affaires</t>
  </si>
  <si>
    <t xml:space="preserve">Die Gewichtung dieses Thema’s ist abhängig  Zugängen zum Anlagevermögen und Finanzvermögen in Relation zu der Bilanzsumme</t>
  </si>
  <si>
    <t xml:space="preserve">La ponderazione di questo tema dipende dalle aggiunte alle attività e alle attività finanziarie in relazione al totale del bilancio</t>
  </si>
  <si>
    <t xml:space="preserve">The weighting of this theme is dependent on additions to fixed-assets and financial assets in relation to the balance sheet total.</t>
  </si>
  <si>
    <t xml:space="preserve">La ponderación de este tema depende del cociente de las altas de activos fijos y financieros en relación al balance (financiero)</t>
  </si>
  <si>
    <t xml:space="preserve">La pondération de ce thème dépend des ajouts aux immobilisations et aux actifs financiers par rapport au total du bilan.</t>
  </si>
  <si>
    <t xml:space="preserve">Die Gewichtung dieses Thema’s ist abhängig von der Größe des Unternehmens</t>
  </si>
  <si>
    <t xml:space="preserve">La ponderazione di questo tema dipende dalle dimensioni dell'impresa</t>
  </si>
  <si>
    <t xml:space="preserve">The weighting of this theme is dependent on the size of the company.</t>
  </si>
  <si>
    <t xml:space="preserve">La ponderación de este tema depende del tamaño de la empresa</t>
  </si>
  <si>
    <t xml:space="preserve">La pondération de ce sujet dépend de la taille de l'entreprise</t>
  </si>
  <si>
    <t xml:space="preserve">Die Gewichtung dieses Thema’s ist abhängig von der Existenz einer Kantine für die Mehrheit der Mitarbeiter*innen sowie dem (geschätzten) durchschnittlichen Anfahrtsweg zur Arbeit.</t>
  </si>
  <si>
    <t xml:space="preserve">La ponderazione di questo tema dipende dall'esistenza di una mensa per la maggior parte dei dipendenti e dal viaggio medio (stimato) fino al lavoro.</t>
  </si>
  <si>
    <t xml:space="preserve">The weighting of this theme is dependent on the existence of a canteen for most of the employees as well as an (estimated) average commute to work. </t>
  </si>
  <si>
    <t xml:space="preserve">La ponderación de este tema depende de si la empresa tiene cantina a disposición de la mayoría de los trabajadores así como del trayecto medio (estimado) al puesto de trabajo.</t>
  </si>
  <si>
    <t xml:space="preserve">La pondération de ce thème dépend de l’existence d’une cantine pour la plupart des collaborateurs ainsi que d’une moyenne (estimée) des déplacements au travail.</t>
  </si>
  <si>
    <t xml:space="preserve">Die Gewichtung dieses Thema’s ist abhängig von der Größe des Unternehmens sowie von den Mitbestimmungsrechte in den Ländern der wichtigsten Standorte (basierend auf dem ITUC-Index der International Labour Union)</t>
  </si>
  <si>
    <t xml:space="preserve">La ponderazione di questo tema dipende dalle dimensioni dell'impresa e dai diritti di partecipazione nei paesi delle sedi più importanti (in base all'indice ITUC dell'International Labour Union)</t>
  </si>
  <si>
    <t xml:space="preserve">The weighting of this theme is dependent on company size and co-determination rights in the countries of the most important supply industries (based on the ILUC index of the International Labour Union).</t>
  </si>
  <si>
    <t xml:space="preserve">La ponderación de este tema depende tanto del tamaño de la empresa como de los derechos de participación democrática en los países más importantes donde se encuentra la empresa presente (basado en el índice que elabora la confederación internacional sindical ITUC)</t>
  </si>
  <si>
    <t xml:space="preserve">La pondération de ce thème dépend de la taille des entreprises et des droits de co-décision dans les pays des industries les plus importantes (sur la base de l’indice ILUC de l’Union Internationale du Travail).</t>
  </si>
  <si>
    <t xml:space="preserve">Die Gewichtung dieses Thema’s ist abhängig von der Branche </t>
  </si>
  <si>
    <t xml:space="preserve">La ponderazione di questo tema dipende dal settore</t>
  </si>
  <si>
    <t xml:space="preserve">The weighting of this theme depends on the industry sector.</t>
  </si>
  <si>
    <t xml:space="preserve">La ponderación de este tema depende del sector de la empresa</t>
  </si>
  <si>
    <t xml:space="preserve">La pondération de ce sujet dépend du secteur ou de la branche industriel.</t>
  </si>
  <si>
    <t xml:space="preserve">Die Gewichtung dieses Thema’s ist abhängig davon, ob Kund*innen in erster Linie Private oder Unternehmen sind</t>
  </si>
  <si>
    <t xml:space="preserve">La ponderazione di questo tema dipende dal fatto che i clienti siano principalmente privati o imprese</t>
  </si>
  <si>
    <t xml:space="preserve">The weighting of this theme depends on whether customers are primarily individuals or companies.</t>
  </si>
  <si>
    <t xml:space="preserve">La ponderación de este tema depende de si la empresa es principalmente B2B o B2C</t>
  </si>
  <si>
    <t xml:space="preserve">La pondération de ce thème dépend si les clients sont principalement des individus ou des entreprises.</t>
  </si>
  <si>
    <t xml:space="preserve">Die Gewichtung dieses Thema’s ist abhängig von der Umsatzrentabilität (Gewinn/Umsatz)</t>
  </si>
  <si>
    <t xml:space="preserve">La ponderazione di questo tema dipende dal rendimento delle vendite (profitti / fatturato)</t>
  </si>
  <si>
    <t xml:space="preserve">The weighting of this theme is dependent on the return on sales (profit/turnover).</t>
  </si>
  <si>
    <t xml:space="preserve">La ponderación de este tema depende de la rentabilidad de la empresa entendida como Beneficios / Facturación</t>
  </si>
  <si>
    <t xml:space="preserve">La pondération de ce thème dépend de la rentabilité des ventes (profit/chiffre d’affaires).</t>
  </si>
  <si>
    <t xml:space="preserve">Die Gewichtung dieses Thenma’s ist abhängig von der Branche</t>
  </si>
  <si>
    <t xml:space="preserve">Die Gewichtung dieses Thema’s ist abhängig von der Größe sowie der Branche des Unternehmens.</t>
  </si>
  <si>
    <t xml:space="preserve">La ponderazione di questo tema dipende dalle dimensioni sia del settore che dell’impresa.</t>
  </si>
  <si>
    <t xml:space="preserve">The weighting of this theme depends on the company size and the industry sector.</t>
  </si>
  <si>
    <t xml:space="preserve">La ponderación de este tema depende tanto del tamaño de la empresa como del sector.</t>
  </si>
  <si>
    <t xml:space="preserve">La pondération de ce sujet dépend de la taille de l'entreprise et du secteur industriel.</t>
  </si>
  <si>
    <t xml:space="preserve">A-AGRICOLTURA, SILVICOLTURA E PESCA</t>
  </si>
  <si>
    <t xml:space="preserve">A - agriculture, forestry management, fishing industry</t>
  </si>
  <si>
    <t xml:space="preserve">A – Agricultura, silvicultura y pesca</t>
  </si>
  <si>
    <t xml:space="preserve">A - Agriculture, gestion forestière, industrie de la pêche</t>
  </si>
  <si>
    <t xml:space="preserve">B - Bergbau und Gewinnung von Steinen und Erden</t>
  </si>
  <si>
    <t xml:space="preserve">B-ATTIVITÀ ESTRATTIVA</t>
  </si>
  <si>
    <t xml:space="preserve">B - Mining and quarrying</t>
  </si>
  <si>
    <t xml:space="preserve">B – Explotación de minas y canteras</t>
  </si>
  <si>
    <t xml:space="preserve">B - Exploitation minière et de carrières (industries extractives)</t>
  </si>
  <si>
    <t xml:space="preserve">C - Verarbeitendes Gewerbe (nicht weiter spezifiziert)</t>
  </si>
  <si>
    <t xml:space="preserve">C-ATTIVITÀ MANIFATTURIERE</t>
  </si>
  <si>
    <t xml:space="preserve">C - Manufacturing industries (not further specified)</t>
  </si>
  <si>
    <t xml:space="preserve">C – Indutrias manufactureras</t>
  </si>
  <si>
    <t xml:space="preserve">C - Industries manufacturières (sans autre spécification)</t>
  </si>
  <si>
    <t xml:space="preserve">Ca - Produktion von Lebensmittel, Getränken und Tabak (C10,C11,C12)</t>
  </si>
  <si>
    <t xml:space="preserve">Ca-Prodotti di alimenti e bevande</t>
  </si>
  <si>
    <t xml:space="preserve">Ca – Industria de alimentación, bebidas y tabaco (C10, C11, C12)</t>
  </si>
  <si>
    <t xml:space="preserve">Ca - Production alimentaire, boissons et tabac (C10, C11, C12)</t>
  </si>
  <si>
    <t xml:space="preserve">Cb - Produktion von Textilien, Kleidung, Leder und Produkten hieraus (C13,C14,C15)</t>
  </si>
  <si>
    <t xml:space="preserve">Cb-Prodotti di tessuti, vestiti, cuoio</t>
  </si>
  <si>
    <t xml:space="preserve">Cb - Textile production, clothing, leather and leather products (C13, C14, C15)</t>
  </si>
  <si>
    <t xml:space="preserve">Cb – Industria textil, prendas de vestir, cuero y calzado (C13, C14, C15)</t>
  </si>
  <si>
    <t xml:space="preserve">Cb - Production textile, d'habillement, cuir et produits à base de cuir (C13, C14, C15)</t>
  </si>
  <si>
    <t xml:space="preserve">Cc - Produktion von Holz- und Papierprodukten sowie Drucksorten (C16,C17,C18)</t>
  </si>
  <si>
    <t xml:space="preserve">Cc-Prodotti di legno e carta (C16,C17,C18)</t>
  </si>
  <si>
    <t xml:space="preserve">Cc - Paper and forest products, also printed matter (C16, C17, C18)</t>
  </si>
  <si>
    <t xml:space="preserve">Cc – Industria de la madera y el corcho; cestería y espartería; papel; artes gráficas y reproducción de soportes grabados</t>
  </si>
  <si>
    <t xml:space="preserve">Cc - Papier et produits forestier, ainsi que les matières imprimées (C16, C17, C18)</t>
  </si>
  <si>
    <t xml:space="preserve">Cd - Produktion von petrochemischen Produkte und Kunststoffen (C19, C20;C22)</t>
  </si>
  <si>
    <t xml:space="preserve">Cd-Prodotti petrol-sintetici e plastica (C19, C20;C22)</t>
  </si>
  <si>
    <t xml:space="preserve">Cd - Production of petrochemical products and plastics (C19, C20;C22)</t>
  </si>
  <si>
    <t xml:space="preserve">Cd – Industria química; coquerías y refino de petróleo; fabricación de productos de caucho y plásticos (C19, C20, C22)</t>
  </si>
  <si>
    <t xml:space="preserve">Cd - Production de produits issus de l'industrie pétrochimique et plastiques (C19, C20, C21)</t>
  </si>
  <si>
    <t xml:space="preserve">Ce - Produktion von pharmazeutischen Produktion und Präparaten (C21)</t>
  </si>
  <si>
    <t xml:space="preserve">Ce-Prodotti farmaceutici e medicinali (C21)</t>
  </si>
  <si>
    <t xml:space="preserve">Ce – Fabricación de productos farmacéuticos (C21)</t>
  </si>
  <si>
    <t xml:space="preserve">Ce - Produits pharmaceuthiques et préparations (C21)</t>
  </si>
  <si>
    <t xml:space="preserve">Cf - Produktion nicht metallischer Mineralstoffe (C23)</t>
  </si>
  <si>
    <t xml:space="preserve">Cf-Prodotti non metallici e minerali (C23)</t>
  </si>
  <si>
    <t xml:space="preserve">Cf - Production of non-metallic minerals (C23)</t>
  </si>
  <si>
    <t xml:space="preserve">Cf – Fabricación de otros productos minerales no metálicos (C23)</t>
  </si>
  <si>
    <t xml:space="preserve">Cf - Production de minéraux non métalliques (C23)</t>
  </si>
  <si>
    <t xml:space="preserve">Cg - Produktion von Metallen und metallischen Produkten (exkl. Maschinen und Geräten) (C24,C25)</t>
  </si>
  <si>
    <t xml:space="preserve">Cg-Prodotti di metalli</t>
  </si>
  <si>
    <t xml:space="preserve">Cg - Production of metal and metallic products (excl. machines and equipment) (C24, C25)</t>
  </si>
  <si>
    <t xml:space="preserve">Cg – Metalurgia; fabricación de productos de hierro, acero y ferroaleaciones; fabricación de productos metálicos, excepto maquinaria (C24, C25)</t>
  </si>
  <si>
    <t xml:space="preserve">Cg - Production de métal et produits métalliques (sauf machines et équipements) (C24, C25)</t>
  </si>
  <si>
    <t xml:space="preserve">Ch - Produktion von elektronischen, optischen und sonstigen Geräten und Bauteilen sowie Computer (C26,C27,C28)</t>
  </si>
  <si>
    <t xml:space="preserve">Ch-Prodotti elettronici ed elettrici (C26,C27,C28)</t>
  </si>
  <si>
    <t xml:space="preserve">Ch - Production of electronic equipment, instruments and components as well as computers (C26, C27, C28)</t>
  </si>
  <si>
    <t xml:space="preserve">Ch – Fabricación de productos informáticos, electrónicos y ópticos; fabricación de material y equipo eléctrico; fabricación de maquinaria y equipo (C26, C27, C28)</t>
  </si>
  <si>
    <t xml:space="preserve">Ch - Production d'équipements, instruments et composants électroniques, ainsi que les ordinateurs (C26, C27, C28)</t>
  </si>
  <si>
    <t xml:space="preserve">D - Strom-, Gas-, Dampfversorgung und Kühlung </t>
  </si>
  <si>
    <t xml:space="preserve">D-FORNITURA DI ENERGIA ELETTRICA, GAS, VAPORE E ARIA CONDIZIONATA</t>
  </si>
  <si>
    <t xml:space="preserve">D - Electric, Gas, Steam and Refrigeration</t>
  </si>
  <si>
    <t xml:space="preserve">D – Suministro de electricidad, gas, vapor y aire acondicionado</t>
  </si>
  <si>
    <t xml:space="preserve">D - approvisonnement en Électricité, gaz, vapeur et réfrigération</t>
  </si>
  <si>
    <t xml:space="preserve">E - Wasserversorgung, Abfallwirtschaft</t>
  </si>
  <si>
    <t xml:space="preserve">E-FORNITURA DI ACQUA; RETI FOGNARIE, ATTIVITÀ DI TRATTAMENTO DEI RIFIUTI E RISANAMENTO</t>
  </si>
  <si>
    <t xml:space="preserve">E - Water supply, waste management</t>
  </si>
  <si>
    <t xml:space="preserve">E – Suministro de agua, alcantarillado, gestión de desechos y actividades de saneamiento</t>
  </si>
  <si>
    <t xml:space="preserve">E - Distribution d'eau, gestion des déchêts</t>
  </si>
  <si>
    <t xml:space="preserve">F - Baugewerbe</t>
  </si>
  <si>
    <t xml:space="preserve">F-Costruzioni</t>
  </si>
  <si>
    <t xml:space="preserve">F - Construction industry</t>
  </si>
  <si>
    <t xml:space="preserve">F – Construcción</t>
  </si>
  <si>
    <t xml:space="preserve">F - Industrie de construction</t>
  </si>
  <si>
    <t xml:space="preserve">G - Groß- und Einzelhandel sowie Werkstätten für Kraftfahrzeuge (Anmerkung: Groß- und Einzelhandel nicht auf KFZ beschränkt)</t>
  </si>
  <si>
    <t xml:space="preserve">G-Commercio all'ingrosso e al dettaglio, officine</t>
  </si>
  <si>
    <t xml:space="preserve">G - Wholesale and retail</t>
  </si>
  <si>
    <t xml:space="preserve">G – Comercio al por mayor y al por menor, reparación de los vehículos de motor y de las motocicletas</t>
  </si>
  <si>
    <t xml:space="preserve">G - Grossistes et détaillants</t>
  </si>
  <si>
    <t xml:space="preserve">H - Verkehr und Lagerhaltung</t>
  </si>
  <si>
    <t xml:space="preserve">H-TRASPORTO E MAGAZZINAGGIO</t>
  </si>
  <si>
    <t xml:space="preserve">H - Transport and warehousing</t>
  </si>
  <si>
    <t xml:space="preserve">H – Transporte y almacenamiento</t>
  </si>
  <si>
    <t xml:space="preserve">H - Transport et stockage</t>
  </si>
  <si>
    <t xml:space="preserve">I - Beherbergung und Gastronomie</t>
  </si>
  <si>
    <t xml:space="preserve">I-SERVIZI DI ALLOGGIO E DI RISTORAZIONE</t>
  </si>
  <si>
    <t xml:space="preserve">I - Accommodation and catering</t>
  </si>
  <si>
    <t xml:space="preserve">I – Alojamiento y servicios de comida</t>
  </si>
  <si>
    <t xml:space="preserve">I - Hébergement et restauration</t>
  </si>
  <si>
    <t xml:space="preserve">J-SERVIZI DI INFORMAZIONE E COMUNICAZIONE</t>
  </si>
  <si>
    <t xml:space="preserve">J - Information and Communication</t>
  </si>
  <si>
    <t xml:space="preserve">J – Información y comunicación</t>
  </si>
  <si>
    <t xml:space="preserve">J - Information et communication</t>
  </si>
  <si>
    <t xml:space="preserve">K - Kredit- und Finanzwesen</t>
  </si>
  <si>
    <t xml:space="preserve">K-ATTIVITÀ FINANZIARIE E ASSICURATIVE</t>
  </si>
  <si>
    <t xml:space="preserve">K - Financial services</t>
  </si>
  <si>
    <t xml:space="preserve">K – Actividades financieras y de seguros</t>
  </si>
  <si>
    <t xml:space="preserve">K - Services financiers</t>
  </si>
  <si>
    <t xml:space="preserve">L - (Immobilienwirtschaft</t>
  </si>
  <si>
    <t xml:space="preserve">L-ATTIVITÀ IMMOBILIARI</t>
  </si>
  <si>
    <t xml:space="preserve">L - Real estate</t>
  </si>
  <si>
    <t xml:space="preserve">L – Actividades inmobiliarias</t>
  </si>
  <si>
    <t xml:space="preserve">L - Immobilier</t>
  </si>
  <si>
    <t xml:space="preserve">M - Freiberufliche, wissenschaftliche und technische Dienstleistungen</t>
  </si>
  <si>
    <t xml:space="preserve">M-ATTIVITÀ PROFESSIONALI, SCIENTIFICHE E TECNICHE</t>
  </si>
  <si>
    <t xml:space="preserve">M - Professional, technical and scientific services</t>
  </si>
  <si>
    <t xml:space="preserve">M – Actividades profesionales, científicas y técnicas</t>
  </si>
  <si>
    <t xml:space="preserve">M - Services techniques et scientifiques par des indépendants</t>
  </si>
  <si>
    <t xml:space="preserve">N - Administrative und unterstützende Dienstleistungen</t>
  </si>
  <si>
    <t xml:space="preserve">N-ATTIVITÀ AMMINISTRATIVE E DI SERVIZI DI SUPPORTO</t>
  </si>
  <si>
    <t xml:space="preserve">N - Administrative and support services</t>
  </si>
  <si>
    <t xml:space="preserve">N – Actividades administrativas y servicios de apoyo</t>
  </si>
  <si>
    <t xml:space="preserve">N - Services administratif et de support</t>
  </si>
  <si>
    <t xml:space="preserve">O - Öffentliche Verwaltung; Verteidigung; Sozialversicherungswesen</t>
  </si>
  <si>
    <t xml:space="preserve">O-AMMINISTRAZIONE PUBBLICA E DIFESA; ASSICURAZIONE SOCIALE OBBLIGATORIA</t>
  </si>
  <si>
    <t xml:space="preserve">O - Public administration; defence; social security</t>
  </si>
  <si>
    <t xml:space="preserve">O – Administración pública y defensa, planes de seguridad social de afiliación obligatoria</t>
  </si>
  <si>
    <t xml:space="preserve">O - Administration publique ; défense ; sécurité sociale</t>
  </si>
  <si>
    <t xml:space="preserve">P - Bildung</t>
  </si>
  <si>
    <t xml:space="preserve">P-ISTRUZIONE</t>
  </si>
  <si>
    <t xml:space="preserve">P - Education</t>
  </si>
  <si>
    <t xml:space="preserve">P – Enseñanza</t>
  </si>
  <si>
    <t xml:space="preserve">P - Education formation</t>
  </si>
  <si>
    <t xml:space="preserve">Q - Gesundheit und Sozialarbeit</t>
  </si>
  <si>
    <t xml:space="preserve">Q-SANITÀ E ASSISTENZA SOCIALE</t>
  </si>
  <si>
    <t xml:space="preserve">Q - Health and social work</t>
  </si>
  <si>
    <t xml:space="preserve">Q – Servicios sociales y relacionados con la salud humana</t>
  </si>
  <si>
    <t xml:space="preserve">Q - Santé et travail social</t>
  </si>
  <si>
    <t xml:space="preserve">R - Kunst, Unterhaltung und Erholung</t>
  </si>
  <si>
    <t xml:space="preserve">R-ATTIVITA' ARTISTICHE, DI INTRATTENIMENTO E DIVERTIMENTO</t>
  </si>
  <si>
    <t xml:space="preserve">R - Art, education and leisure</t>
  </si>
  <si>
    <t xml:space="preserve">R – Artes, entretenimiento y recreación</t>
  </si>
  <si>
    <t xml:space="preserve">R - Art, éducation et loisirs</t>
  </si>
  <si>
    <t xml:space="preserve">S - Andere Dienstleistungen</t>
  </si>
  <si>
    <t xml:space="preserve">S-ALTRE ATTIVITÀ DI SERVIZI</t>
  </si>
  <si>
    <t xml:space="preserve">S - Other services</t>
  </si>
  <si>
    <t xml:space="preserve">S – Otras actividades de servicio</t>
  </si>
  <si>
    <t xml:space="preserve">S - Autres services</t>
  </si>
  <si>
    <t xml:space="preserve">T - Private Haushalte</t>
  </si>
  <si>
    <t xml:space="preserve">T-convivenze, comunità famigliari e persone singole, condimini, amministratori di condomini</t>
  </si>
  <si>
    <t xml:space="preserve">T – Actividades de los hogares en calidad de empleadores, actividades indiferenciadas de producción de bienes y servicios de los hogares para uso propio</t>
  </si>
  <si>
    <t xml:space="preserve">T - Secteur privé / particuliers</t>
  </si>
  <si>
    <t xml:space="preserve">U - Exterritoriale Organisationen und Körperschaften</t>
  </si>
  <si>
    <t xml:space="preserve">U-ATTIVITÀ DI ORGANIZZAZIONI E ORGANISMI EXTRATERRITORIALI </t>
  </si>
  <si>
    <t xml:space="preserve">U - Extraterritorial organisations and bodies</t>
  </si>
  <si>
    <t xml:space="preserve">U – Actividades de organizaciones y órganos extraterritoriales</t>
  </si>
  <si>
    <t xml:space="preserve">U - Organisations et organismes extra-territoriaux </t>
  </si>
  <si>
    <t xml:space="preserve">Gesamt-Ausgaben an Lieferanten (in Euro):</t>
  </si>
  <si>
    <t xml:space="preserve">Spese totali per i fornitori (in euro):</t>
  </si>
  <si>
    <t xml:space="preserve">Total purchases from suppliers (in Euros):</t>
  </si>
  <si>
    <t xml:space="preserve">Gastos totales en proveedores (en Euros):</t>
  </si>
  <si>
    <t xml:space="preserve">Total des achats par les fournisseurs (en Euros) :</t>
  </si>
  <si>
    <t xml:space="preserve">Tragen Sie nachstehend, bitte die 5 wichtigstenBranchen ein, aus denen Sie Produkte/Dienstleistungen beziehen. </t>
  </si>
  <si>
    <t xml:space="preserve">Inserisci sotto i 5 settori più importanti da cui acquisti prodotti / servizi.</t>
  </si>
  <si>
    <t xml:space="preserve">Enter the 5 most important industry sectors whose products or services you use.</t>
  </si>
  <si>
    <t xml:space="preserve">Introduzca los 5 secoters más importantes a los que realiza compras</t>
  </si>
  <si>
    <t xml:space="preserve">Entrer les 5 secteurs principaux secteurs ou branches industriels de produits et de services que vous utilisez. </t>
  </si>
  <si>
    <t xml:space="preserve">Branche</t>
  </si>
  <si>
    <t xml:space="preserve">Settore</t>
  </si>
  <si>
    <t xml:space="preserve">Industry sector</t>
  </si>
  <si>
    <t xml:space="preserve">Sector</t>
  </si>
  <si>
    <t xml:space="preserve">Secteur ou branche industriel</t>
  </si>
  <si>
    <t xml:space="preserve">Beschreibung</t>
  </si>
  <si>
    <t xml:space="preserve">Description</t>
  </si>
  <si>
    <t xml:space="preserve">Descripción</t>
  </si>
  <si>
    <t xml:space="preserve">regionale Herkunft</t>
  </si>
  <si>
    <t xml:space="preserve">Provenienza regionale</t>
  </si>
  <si>
    <t xml:space="preserve">Region of origin</t>
  </si>
  <si>
    <t xml:space="preserve">Región de origen</t>
  </si>
  <si>
    <t xml:space="preserve">Région d'origine</t>
  </si>
  <si>
    <t xml:space="preserve">Ausgaben</t>
  </si>
  <si>
    <t xml:space="preserve">Spese</t>
  </si>
  <si>
    <t xml:space="preserve">Costs</t>
  </si>
  <si>
    <t xml:space="preserve">Gastos</t>
  </si>
  <si>
    <t xml:space="preserve">Coûts</t>
  </si>
  <si>
    <t xml:space="preserve">Überwiegende Herkunft restlicher Lieferanten</t>
  </si>
  <si>
    <t xml:space="preserve">Provenienza principale degli altri fornitori</t>
  </si>
  <si>
    <t xml:space="preserve">Main origin of the other suppliers</t>
  </si>
  <si>
    <t xml:space="preserve">Región de origen principal del resto de proveedores</t>
  </si>
  <si>
    <t xml:space="preserve">Origine principales des autres fournisseurs</t>
  </si>
  <si>
    <t xml:space="preserve">Gewinn (EBIT):</t>
  </si>
  <si>
    <t xml:space="preserve">Profitto (EBIT):</t>
  </si>
  <si>
    <t xml:space="preserve">Profit</t>
  </si>
  <si>
    <t xml:space="preserve">Beneficios (EBIT)</t>
  </si>
  <si>
    <t xml:space="preserve">Bénéfice</t>
  </si>
  <si>
    <t xml:space="preserve">Finanzierungskosten</t>
  </si>
  <si>
    <t xml:space="preserve">oneri finanziari</t>
  </si>
  <si>
    <t xml:space="preserve">Financing costs</t>
  </si>
  <si>
    <t xml:space="preserve">Costes financieros</t>
  </si>
  <si>
    <t xml:space="preserve">Coûts financiers</t>
  </si>
  <si>
    <t xml:space="preserve">Erträge aus Finanzanlagen</t>
  </si>
  <si>
    <t xml:space="preserve">Proventi da attività finanziarie</t>
  </si>
  <si>
    <t xml:space="preserve">Income from financial investments</t>
  </si>
  <si>
    <t xml:space="preserve">Ingresos financieros</t>
  </si>
  <si>
    <t xml:space="preserve">Revenu d'investissements financiers</t>
  </si>
  <si>
    <t xml:space="preserve">Bilanzaktiva</t>
  </si>
  <si>
    <t xml:space="preserve">attività stato patrimoniale</t>
  </si>
  <si>
    <t xml:space="preserve">Total assets</t>
  </si>
  <si>
    <t xml:space="preserve">Activo (balance financiero)</t>
  </si>
  <si>
    <t xml:space="preserve">Total des actifs</t>
  </si>
  <si>
    <t xml:space="preserve">Zugänge zum Anlagevermögen </t>
  </si>
  <si>
    <t xml:space="preserve">Aggiunte alle immobilizzazioni</t>
  </si>
  <si>
    <t xml:space="preserve">Additions to fixed-assets</t>
  </si>
  <si>
    <t xml:space="preserve">Altas de activos fijos</t>
  </si>
  <si>
    <t xml:space="preserve">Acquisitions d' immobilisations</t>
  </si>
  <si>
    <t xml:space="preserve">Finanzanlagen und Barguthaben</t>
  </si>
  <si>
    <t xml:space="preserve">Attività finanziarie e saldo di cassa</t>
  </si>
  <si>
    <t xml:space="preserve">Financial assets and cash balance</t>
  </si>
  <si>
    <t xml:space="preserve">Activos financieros y saldos de caja</t>
  </si>
  <si>
    <t xml:space="preserve">Actifs financiers et solde de trésorerie</t>
  </si>
  <si>
    <t xml:space="preserve">Anzahl der Mitarbeitenden (in Vollzeitäquivalenten): </t>
  </si>
  <si>
    <t xml:space="preserve">Numero di collaboratori (in equivalenti a tempo pieno):</t>
  </si>
  <si>
    <t xml:space="preserve">Number of employees (full time equivalents)</t>
  </si>
  <si>
    <t xml:space="preserve">Cantidad de trabajadores (equivalentes a jornada completa)</t>
  </si>
  <si>
    <t xml:space="preserve">Nombre d'employés (équivalent temps plein)</t>
  </si>
  <si>
    <t xml:space="preserve">Personalkosten (brutto ohne Dienstgeberanteil)</t>
  </si>
  <si>
    <t xml:space="preserve">Costi del personale (lordi senza contributo del datore di lavoro)</t>
  </si>
  <si>
    <t xml:space="preserve">Staff costs (gross without employer contribution)</t>
  </si>
  <si>
    <t xml:space="preserve">Gastos de personal</t>
  </si>
  <si>
    <t xml:space="preserve">Coût du travail (brut sans la contribution de l'employeur)</t>
  </si>
  <si>
    <t xml:space="preserve">Tragen Sie bitte nachstehend jene drei Länder und Regionen ein, wo die meisten Mitarbeitenden arbeiten</t>
  </si>
  <si>
    <t xml:space="preserve">Inserisca sotto i tre paesi e le regioni in cui lavora la maggior parte dei collaboratori</t>
  </si>
  <si>
    <t xml:space="preserve">Enter the 3 countries and regions where most of the staff are</t>
  </si>
  <si>
    <t xml:space="preserve">Introduzca los 3 países y regiones de los que la mayoría de trabajadores provienen</t>
  </si>
  <si>
    <t xml:space="preserve">Entrer les 3 principaux pays où se trouve la plus grande proportions d'employés</t>
  </si>
  <si>
    <t xml:space="preserve">Land &amp; Region</t>
  </si>
  <si>
    <t xml:space="preserve">Paese e Regione</t>
  </si>
  <si>
    <t xml:space="preserve">Country and region</t>
  </si>
  <si>
    <t xml:space="preserve">País y región</t>
  </si>
  <si>
    <t xml:space="preserve">Pays et Région</t>
  </si>
  <si>
    <t xml:space="preserve">Anteil in % </t>
  </si>
  <si>
    <t xml:space="preserve">Percentulale %</t>
  </si>
  <si>
    <t xml:space="preserve">Amount in %</t>
  </si>
  <si>
    <t xml:space="preserve">Porcentaje %</t>
  </si>
  <si>
    <t xml:space="preserve">nombre en %</t>
  </si>
  <si>
    <t xml:space="preserve">Durchschnittlicher Arbeitsweg der Mitarbeitenden (in km):</t>
  </si>
  <si>
    <t xml:space="preserve">Distanza media al posto di lavoro dei collaboratori (in km):</t>
  </si>
  <si>
    <t xml:space="preserve">Average journey to work for staff (in km)</t>
  </si>
  <si>
    <t xml:space="preserve">Trayecto medio de los trabajadores a su lugar de trabajo (km):</t>
  </si>
  <si>
    <t xml:space="preserve">itinéraire moyen pour se rendre au travail (km)</t>
  </si>
  <si>
    <t xml:space="preserve">Gibt es eine Kantine für die Mehrheit der Mitarbeitenden?</t>
  </si>
  <si>
    <t xml:space="preserve">C'è una mensa per la maggior parte dei collaboratori?</t>
  </si>
  <si>
    <t xml:space="preserve">Is there a canteen for the majority of staff?</t>
  </si>
  <si>
    <t xml:space="preserve">¿Hay cantina para la mayoría de los trabajadores?</t>
  </si>
  <si>
    <t xml:space="preserve">Y-a-t-il une cantine pour la majorité des employés ?</t>
  </si>
  <si>
    <t xml:space="preserve">Umsatz (in Euro)</t>
  </si>
  <si>
    <t xml:space="preserve">fatturato (in euro)</t>
  </si>
  <si>
    <t xml:space="preserve">Turnover (in Euros)</t>
  </si>
  <si>
    <t xml:space="preserve">Facturación (en euros)</t>
  </si>
  <si>
    <t xml:space="preserve">Chiffre d'affaire (en Euros)</t>
  </si>
  <si>
    <t xml:space="preserve">Haben Sie nahezu ausschließlich Unternehmen als Kunden</t>
  </si>
  <si>
    <t xml:space="preserve">Ha aziende quasi esclusivamente come clienti?</t>
  </si>
  <si>
    <t xml:space="preserve">Are your customers mainly other companies?</t>
  </si>
  <si>
    <t xml:space="preserve">¿Sus clientes son en su mayoría empresas?</t>
  </si>
  <si>
    <t xml:space="preserve">Vos clients sont-ils majoritairement d'autres entreprises ?</t>
  </si>
  <si>
    <t xml:space="preserve">Tragen Sie nachstehend, bitte die 3 wichtigsten Branchen ein, in denen Ihr Unternehmen tätig ist, inklusive ungefährem Umsatzanteil</t>
  </si>
  <si>
    <t xml:space="preserve">Di seguito, descriva i 3 settori più importanti in cui opera la Sua azienda, inclusa la quota di fatturato approssimativa</t>
  </si>
  <si>
    <t xml:space="preserve">Enter the 3 most important industry sectors which your company is active in, including a rough share of turnover</t>
  </si>
  <si>
    <t xml:space="preserve">Introduzca los 3 sectores más importantes en los que opera su empresa incluyendo la facturación aprox. correspondiente</t>
  </si>
  <si>
    <t xml:space="preserve">Entrer les 3 principaux secteurs industriels avec lesquels votre entreprise est active, incluant une part importante du chiffre d'affaire, même approximative</t>
  </si>
  <si>
    <t xml:space="preserve">descrizione</t>
  </si>
  <si>
    <t xml:space="preserve">% Anteil am Gesamtumsatz</t>
  </si>
  <si>
    <t xml:space="preserve">Quota % al fatturato</t>
  </si>
  <si>
    <t xml:space="preserve">% Amount of total turnover</t>
  </si>
  <si>
    <t xml:space="preserve">% sobre la facturación total</t>
  </si>
  <si>
    <t xml:space="preserve">% Montant du chiffre d'affaire total</t>
  </si>
  <si>
    <t xml:space="preserve">Unternehmensgrösse </t>
  </si>
  <si>
    <t xml:space="preserve">dimensioni dell'azienda</t>
  </si>
  <si>
    <t xml:space="preserve">Company size</t>
  </si>
  <si>
    <t xml:space="preserve">Tamaño de la empresa</t>
  </si>
  <si>
    <t xml:space="preserve">Taille de l'entreprise</t>
  </si>
  <si>
    <t xml:space="preserve">Kleinstunternehmen</t>
  </si>
  <si>
    <t xml:space="preserve">microimpresa</t>
  </si>
  <si>
    <t xml:space="preserve">Micro-business</t>
  </si>
  <si>
    <t xml:space="preserve">Microempresa</t>
  </si>
  <si>
    <t xml:space="preserve">Micro entreprise</t>
  </si>
  <si>
    <t xml:space="preserve">Kleinunternehmen</t>
  </si>
  <si>
    <t xml:space="preserve">Piccola impresa</t>
  </si>
  <si>
    <t xml:space="preserve">Small business</t>
  </si>
  <si>
    <t xml:space="preserve">Pequeña empresa</t>
  </si>
  <si>
    <t xml:space="preserve">Petite entreprise</t>
  </si>
  <si>
    <t xml:space="preserve">Mittleres Unternehmen</t>
  </si>
  <si>
    <t xml:space="preserve">Impresa media</t>
  </si>
  <si>
    <t xml:space="preserve">Medium business</t>
  </si>
  <si>
    <t xml:space="preserve">Mediana empresa</t>
  </si>
  <si>
    <t xml:space="preserve">Moyenne entreprise</t>
  </si>
  <si>
    <t xml:space="preserve">Grossunternehmen</t>
  </si>
  <si>
    <t xml:space="preserve">Grande impresa</t>
  </si>
  <si>
    <t xml:space="preserve">Large business</t>
  </si>
  <si>
    <t xml:space="preserve">Gran empresa</t>
  </si>
  <si>
    <t xml:space="preserve">Grande entreprise</t>
  </si>
  <si>
    <t xml:space="preserve">In diesem Tabellenblatt wird die Gemeinwohlbilanz berechnet. </t>
  </si>
  <si>
    <t xml:space="preserve">In questo foglio viene calcolato il punteggio del bilancio del bene comune.</t>
  </si>
  <si>
    <t xml:space="preserve">Introduzca descripción de la tabla: en esta hoja se calcula la puntuación del balance del Bien Común.</t>
  </si>
  <si>
    <t xml:space="preserve">Cette feuille de calcul est utilisée pour élaborer le bilan du Bien commun</t>
  </si>
  <si>
    <t xml:space="preserve">Skalenwert eingeben: Wert muss im Bereich von 0 bis 10 liegen.</t>
  </si>
  <si>
    <t xml:space="preserve">Inserisca un valore di scala da 0 a 10 </t>
  </si>
  <si>
    <t xml:space="preserve">Introduce value between 0 and 10</t>
  </si>
  <si>
    <t xml:space="preserve">Introduzca puntuación. El valor debe encontrarse entre 0 y 10.</t>
  </si>
  <si>
    <t xml:space="preserve">Introduire la valeur entre 0 et 10</t>
  </si>
  <si>
    <t xml:space="preserve">Negativpunkte eingeben: Werte müssen im Bereich von -200 bis 0 liegen.</t>
  </si>
  <si>
    <t xml:space="preserve">Inserisca un punteggio negativo da 0 a -200 </t>
  </si>
  <si>
    <t xml:space="preserve">Introduce negative points between 0 and -200</t>
  </si>
  <si>
    <t xml:space="preserve">Introduzca puntuación negativa. El valor debe encontrarse entre -200 y 0.</t>
  </si>
  <si>
    <t xml:space="preserve">Introduire les points négatifs entre 0 et -200</t>
  </si>
  <si>
    <t xml:space="preserve">globaler Durchschnitt</t>
  </si>
  <si>
    <t xml:space="preserve">media globale</t>
  </si>
  <si>
    <t xml:space="preserve">Media global</t>
  </si>
  <si>
    <t xml:space="preserve">Moyenne globale</t>
  </si>
  <si>
    <t xml:space="preserve">Bitte auswählen</t>
  </si>
  <si>
    <t xml:space="preserve">Seleccione el país</t>
  </si>
  <si>
    <t xml:space="preserve">Afrika</t>
  </si>
  <si>
    <t xml:space="preserve">África</t>
  </si>
  <si>
    <t xml:space="preserve">Afrique </t>
  </si>
  <si>
    <t xml:space="preserve">Nord-Afrika und Mittlere Osten</t>
  </si>
  <si>
    <t xml:space="preserve">Nord-Africa e Medio Oriente</t>
  </si>
  <si>
    <t xml:space="preserve">Norte de África y Oriente Medio</t>
  </si>
  <si>
    <t xml:space="preserve">Afrique du Nord et Moyen-Orient</t>
  </si>
  <si>
    <t xml:space="preserve">Latein-Amerika</t>
  </si>
  <si>
    <t xml:space="preserve">Latino-America</t>
  </si>
  <si>
    <t xml:space="preserve">Latinoamérica</t>
  </si>
  <si>
    <t xml:space="preserve">Amérique Latine</t>
  </si>
  <si>
    <t xml:space="preserve">Nord-Amerika &amp; Ozeanien</t>
  </si>
  <si>
    <t xml:space="preserve">Nord-America e Ozeania</t>
  </si>
  <si>
    <t xml:space="preserve">Norteamérica y Oceanía</t>
  </si>
  <si>
    <t xml:space="preserve">Amérique du Nord &amp; Océanie</t>
  </si>
  <si>
    <t xml:space="preserve">Asien</t>
  </si>
  <si>
    <t xml:space="preserve">Asie</t>
  </si>
  <si>
    <t xml:space="preserve">Europa</t>
  </si>
  <si>
    <t xml:space="preserve">.aw</t>
  </si>
  <si>
    <t xml:space="preserve">AW</t>
  </si>
  <si>
    <t xml:space="preserve">Aruba </t>
  </si>
  <si>
    <t xml:space="preserve">.af</t>
  </si>
  <si>
    <t xml:space="preserve">AF</t>
  </si>
  <si>
    <t xml:space="preserve">Afghanistan </t>
  </si>
  <si>
    <t xml:space="preserve">Afganistán</t>
  </si>
  <si>
    <t xml:space="preserve">.ao</t>
  </si>
  <si>
    <t xml:space="preserve">AO</t>
  </si>
  <si>
    <t xml:space="preserve">Angola </t>
  </si>
  <si>
    <t xml:space="preserve">.al</t>
  </si>
  <si>
    <t xml:space="preserve">AL</t>
  </si>
  <si>
    <t xml:space="preserve">Albanien</t>
  </si>
  <si>
    <t xml:space="preserve">Albania </t>
  </si>
  <si>
    <t xml:space="preserve">Albanie</t>
  </si>
  <si>
    <t xml:space="preserve">.ad</t>
  </si>
  <si>
    <t xml:space="preserve">AD</t>
  </si>
  <si>
    <t xml:space="preserve">Andorra </t>
  </si>
  <si>
    <t xml:space="preserve">Andorre</t>
  </si>
  <si>
    <t xml:space="preserve">.ae</t>
  </si>
  <si>
    <t xml:space="preserve">AE</t>
  </si>
  <si>
    <t xml:space="preserve">Vereinigte Arabische Emirate</t>
  </si>
  <si>
    <t xml:space="preserve">Emirati Arabi Uniti </t>
  </si>
  <si>
    <t xml:space="preserve">United Arab Emirates </t>
  </si>
  <si>
    <t xml:space="preserve">Emiratos Árabes Unidos</t>
  </si>
  <si>
    <t xml:space="preserve">Émirats Arabes Unis</t>
  </si>
  <si>
    <t xml:space="preserve">.ar</t>
  </si>
  <si>
    <t xml:space="preserve">AR</t>
  </si>
  <si>
    <t xml:space="preserve">Argentinien</t>
  </si>
  <si>
    <t xml:space="preserve">Argentina </t>
  </si>
  <si>
    <t xml:space="preserve">Argentine</t>
  </si>
  <si>
    <t xml:space="preserve">.am</t>
  </si>
  <si>
    <t xml:space="preserve">AM</t>
  </si>
  <si>
    <t xml:space="preserve">Armenien</t>
  </si>
  <si>
    <t xml:space="preserve">Armenia </t>
  </si>
  <si>
    <t xml:space="preserve">Arménie</t>
  </si>
  <si>
    <t xml:space="preserve">.as</t>
  </si>
  <si>
    <t xml:space="preserve">AS</t>
  </si>
  <si>
    <t xml:space="preserve">Amerikanisch-Samoa</t>
  </si>
  <si>
    <t xml:space="preserve">Samoa americane </t>
  </si>
  <si>
    <t xml:space="preserve">American Samoa </t>
  </si>
  <si>
    <t xml:space="preserve">Samoa Americana</t>
  </si>
  <si>
    <t xml:space="preserve">Samoa américaines</t>
  </si>
  <si>
    <t xml:space="preserve">.ag</t>
  </si>
  <si>
    <t xml:space="preserve">AG</t>
  </si>
  <si>
    <t xml:space="preserve">Antigua und Barbuda</t>
  </si>
  <si>
    <t xml:space="preserve">Antigua e Barbuda </t>
  </si>
  <si>
    <t xml:space="preserve">Antigua and Barbuda </t>
  </si>
  <si>
    <t xml:space="preserve">Antigua y Barbuda</t>
  </si>
  <si>
    <t xml:space="preserve">Antigua-et-Barbuda</t>
  </si>
  <si>
    <t xml:space="preserve">.au</t>
  </si>
  <si>
    <t xml:space="preserve">AU</t>
  </si>
  <si>
    <t xml:space="preserve">Australien</t>
  </si>
  <si>
    <t xml:space="preserve">Australia </t>
  </si>
  <si>
    <t xml:space="preserve">Australie</t>
  </si>
  <si>
    <t xml:space="preserve">.at</t>
  </si>
  <si>
    <t xml:space="preserve">AT</t>
  </si>
  <si>
    <t xml:space="preserve">Österreich</t>
  </si>
  <si>
    <t xml:space="preserve">Austria </t>
  </si>
  <si>
    <t xml:space="preserve">Autriche</t>
  </si>
  <si>
    <t xml:space="preserve">.az</t>
  </si>
  <si>
    <t xml:space="preserve">AZ</t>
  </si>
  <si>
    <t xml:space="preserve">Aserbaidschan</t>
  </si>
  <si>
    <t xml:space="preserve">Azerbaigian </t>
  </si>
  <si>
    <t xml:space="preserve">Azerbaijan </t>
  </si>
  <si>
    <t xml:space="preserve">Azerbaiyán</t>
  </si>
  <si>
    <t xml:space="preserve">Azerbaïdjan</t>
  </si>
  <si>
    <t xml:space="preserve">.bi</t>
  </si>
  <si>
    <t xml:space="preserve">BI</t>
  </si>
  <si>
    <t xml:space="preserve">Burundi </t>
  </si>
  <si>
    <t xml:space="preserve">.be</t>
  </si>
  <si>
    <t xml:space="preserve">BE</t>
  </si>
  <si>
    <t xml:space="preserve">Belgien</t>
  </si>
  <si>
    <t xml:space="preserve">Belgio </t>
  </si>
  <si>
    <t xml:space="preserve">Belgium </t>
  </si>
  <si>
    <t xml:space="preserve">Bélgica</t>
  </si>
  <si>
    <t xml:space="preserve">Belgique</t>
  </si>
  <si>
    <t xml:space="preserve">.bj</t>
  </si>
  <si>
    <t xml:space="preserve">BJ</t>
  </si>
  <si>
    <t xml:space="preserve">Benin </t>
  </si>
  <si>
    <t xml:space="preserve">Benín</t>
  </si>
  <si>
    <t xml:space="preserve">Bénin</t>
  </si>
  <si>
    <t xml:space="preserve">.bf</t>
  </si>
  <si>
    <t xml:space="preserve">BF</t>
  </si>
  <si>
    <t xml:space="preserve">Burkina Faso </t>
  </si>
  <si>
    <t xml:space="preserve">.bd</t>
  </si>
  <si>
    <t xml:space="preserve">BD</t>
  </si>
  <si>
    <t xml:space="preserve">Bangladesch</t>
  </si>
  <si>
    <t xml:space="preserve">Bangladesh </t>
  </si>
  <si>
    <t xml:space="preserve">Bangladés</t>
  </si>
  <si>
    <t xml:space="preserve">.bg</t>
  </si>
  <si>
    <t xml:space="preserve">BG</t>
  </si>
  <si>
    <t xml:space="preserve">Bulgarien</t>
  </si>
  <si>
    <t xml:space="preserve">Bulgaria </t>
  </si>
  <si>
    <t xml:space="preserve">Bulgarie</t>
  </si>
  <si>
    <t xml:space="preserve">.bh</t>
  </si>
  <si>
    <t xml:space="preserve">BH</t>
  </si>
  <si>
    <t xml:space="preserve">Bahrain </t>
  </si>
  <si>
    <t xml:space="preserve">Baréin</t>
  </si>
  <si>
    <t xml:space="preserve">Bahreïn</t>
  </si>
  <si>
    <t xml:space="preserve">.bs</t>
  </si>
  <si>
    <t xml:space="preserve">BS</t>
  </si>
  <si>
    <t xml:space="preserve">Bahamas</t>
  </si>
  <si>
    <t xml:space="preserve">Bahamas </t>
  </si>
  <si>
    <t xml:space="preserve">.ba</t>
  </si>
  <si>
    <t xml:space="preserve">BA</t>
  </si>
  <si>
    <t xml:space="preserve">Bosnien und Herzegowina</t>
  </si>
  <si>
    <t xml:space="preserve">Bosnia ed Erzegovina </t>
  </si>
  <si>
    <t xml:space="preserve">Bosnia and Herzegovina </t>
  </si>
  <si>
    <t xml:space="preserve">Bosnia y Herzegovina</t>
  </si>
  <si>
    <t xml:space="preserve">Bosnie-Herzégovine</t>
  </si>
  <si>
    <t xml:space="preserve">.by</t>
  </si>
  <si>
    <t xml:space="preserve">BY</t>
  </si>
  <si>
    <t xml:space="preserve">Bielorussia </t>
  </si>
  <si>
    <t xml:space="preserve">Belarus </t>
  </si>
  <si>
    <t xml:space="preserve">Bielorrusia</t>
  </si>
  <si>
    <t xml:space="preserve">Biélorussie</t>
  </si>
  <si>
    <t xml:space="preserve">.bz</t>
  </si>
  <si>
    <t xml:space="preserve">BZ</t>
  </si>
  <si>
    <t xml:space="preserve">Belize </t>
  </si>
  <si>
    <t xml:space="preserve">Belice</t>
  </si>
  <si>
    <t xml:space="preserve">.bm</t>
  </si>
  <si>
    <t xml:space="preserve">BM</t>
  </si>
  <si>
    <t xml:space="preserve">Bermuda </t>
  </si>
  <si>
    <t xml:space="preserve">Bermudas</t>
  </si>
  <si>
    <t xml:space="preserve">Bermudes</t>
  </si>
  <si>
    <t xml:space="preserve">.bo</t>
  </si>
  <si>
    <t xml:space="preserve">BO</t>
  </si>
  <si>
    <t xml:space="preserve">Bolivien</t>
  </si>
  <si>
    <t xml:space="preserve">Bolivia </t>
  </si>
  <si>
    <t xml:space="preserve">Bolivia, Plurinational State of </t>
  </si>
  <si>
    <t xml:space="preserve">Bolivie</t>
  </si>
  <si>
    <t xml:space="preserve">.br</t>
  </si>
  <si>
    <t xml:space="preserve">BR</t>
  </si>
  <si>
    <t xml:space="preserve">Brasilien</t>
  </si>
  <si>
    <t xml:space="preserve">Brasile </t>
  </si>
  <si>
    <t xml:space="preserve">Brazil </t>
  </si>
  <si>
    <t xml:space="preserve">Brasil</t>
  </si>
  <si>
    <t xml:space="preserve">Brésil</t>
  </si>
  <si>
    <t xml:space="preserve">.bb</t>
  </si>
  <si>
    <t xml:space="preserve">BB</t>
  </si>
  <si>
    <t xml:space="preserve">Barbados </t>
  </si>
  <si>
    <t xml:space="preserve">Barbades</t>
  </si>
  <si>
    <t xml:space="preserve">.bn</t>
  </si>
  <si>
    <t xml:space="preserve">BN</t>
  </si>
  <si>
    <t xml:space="preserve">Brunei </t>
  </si>
  <si>
    <t xml:space="preserve">Brunei Darussalam </t>
  </si>
  <si>
    <t xml:space="preserve">Brunéi</t>
  </si>
  <si>
    <t xml:space="preserve">Brunei</t>
  </si>
  <si>
    <t xml:space="preserve">.bt</t>
  </si>
  <si>
    <t xml:space="preserve">BT</t>
  </si>
  <si>
    <t xml:space="preserve">Bhutan </t>
  </si>
  <si>
    <t xml:space="preserve">Bután</t>
  </si>
  <si>
    <t xml:space="preserve">Bhoutan</t>
  </si>
  <si>
    <t xml:space="preserve">.bw</t>
  </si>
  <si>
    <t xml:space="preserve">BW</t>
  </si>
  <si>
    <t xml:space="preserve">Botswana </t>
  </si>
  <si>
    <t xml:space="preserve">Botsuana</t>
  </si>
  <si>
    <t xml:space="preserve">.cf</t>
  </si>
  <si>
    <t xml:space="preserve">CF</t>
  </si>
  <si>
    <t xml:space="preserve">Zentralafrikanische Republik</t>
  </si>
  <si>
    <t xml:space="preserve">Repubblica Centrafricana </t>
  </si>
  <si>
    <t xml:space="preserve">Central African Republic </t>
  </si>
  <si>
    <t xml:space="preserve">República Centroafricana</t>
  </si>
  <si>
    <t xml:space="preserve">République Centrafricaine</t>
  </si>
  <si>
    <t xml:space="preserve">.ca</t>
  </si>
  <si>
    <t xml:space="preserve">CA</t>
  </si>
  <si>
    <t xml:space="preserve">Kanada</t>
  </si>
  <si>
    <t xml:space="preserve">Canada </t>
  </si>
  <si>
    <t xml:space="preserve">Canadá</t>
  </si>
  <si>
    <t xml:space="preserve">.ch</t>
  </si>
  <si>
    <t xml:space="preserve">CH</t>
  </si>
  <si>
    <t xml:space="preserve">Schweiz (Confoederatio Helvetica)</t>
  </si>
  <si>
    <t xml:space="preserve">della Svizzera Svizzera </t>
  </si>
  <si>
    <t xml:space="preserve">Switzerland </t>
  </si>
  <si>
    <t xml:space="preserve">Suiza</t>
  </si>
  <si>
    <t xml:space="preserve">Suisse (confédération helvétique)</t>
  </si>
  <si>
    <t xml:space="preserve">.cl</t>
  </si>
  <si>
    <t xml:space="preserve">CL</t>
  </si>
  <si>
    <t xml:space="preserve">Cile </t>
  </si>
  <si>
    <t xml:space="preserve">Chile </t>
  </si>
  <si>
    <t xml:space="preserve">Chili</t>
  </si>
  <si>
    <t xml:space="preserve">.cn</t>
  </si>
  <si>
    <t xml:space="preserve">CN</t>
  </si>
  <si>
    <t xml:space="preserve">China, Volksrepublik</t>
  </si>
  <si>
    <t xml:space="preserve">Cina </t>
  </si>
  <si>
    <t xml:space="preserve">China </t>
  </si>
  <si>
    <t xml:space="preserve">Chine</t>
  </si>
  <si>
    <t xml:space="preserve">.ci</t>
  </si>
  <si>
    <t xml:space="preserve">CI</t>
  </si>
  <si>
    <t xml:space="preserve">Côte d’Ivoire (Elfenbeinküste)</t>
  </si>
  <si>
    <t xml:space="preserve">Costa d'Avorio </t>
  </si>
  <si>
    <t xml:space="preserve">Côte d'Ivoire </t>
  </si>
  <si>
    <t xml:space="preserve">Costa de Marfil</t>
  </si>
  <si>
    <t xml:space="preserve">Côte-d'Ivoire</t>
  </si>
  <si>
    <t xml:space="preserve">.cm</t>
  </si>
  <si>
    <t xml:space="preserve">CM</t>
  </si>
  <si>
    <t xml:space="preserve">Kamerun</t>
  </si>
  <si>
    <t xml:space="preserve">Camerun </t>
  </si>
  <si>
    <t xml:space="preserve">Cameroon </t>
  </si>
  <si>
    <t xml:space="preserve">Camerún</t>
  </si>
  <si>
    <t xml:space="preserve">Cameroun</t>
  </si>
  <si>
    <t xml:space="preserve">.cd</t>
  </si>
  <si>
    <t xml:space="preserve">CD</t>
  </si>
  <si>
    <t xml:space="preserve">Kongo, Demokratische Republik (ehem. Zaire)</t>
  </si>
  <si>
    <t xml:space="preserve">Repubblica Democratica del Congo </t>
  </si>
  <si>
    <t xml:space="preserve">Congo, the Democratic Republic of the </t>
  </si>
  <si>
    <t xml:space="preserve">Rep. Dem. del Congo</t>
  </si>
  <si>
    <t xml:space="preserve">République démocratique du Congo</t>
  </si>
  <si>
    <t xml:space="preserve">.cg</t>
  </si>
  <si>
    <t xml:space="preserve">CG</t>
  </si>
  <si>
    <t xml:space="preserve">Republik Kongo</t>
  </si>
  <si>
    <t xml:space="preserve">Repubblica del Congo </t>
  </si>
  <si>
    <t xml:space="preserve">Congo </t>
  </si>
  <si>
    <t xml:space="preserve">República del Congo</t>
  </si>
  <si>
    <t xml:space="preserve">République du Congo</t>
  </si>
  <si>
    <t xml:space="preserve">.co</t>
  </si>
  <si>
    <t xml:space="preserve">CO</t>
  </si>
  <si>
    <t xml:space="preserve">Kolumbien</t>
  </si>
  <si>
    <t xml:space="preserve">Colombia </t>
  </si>
  <si>
    <t xml:space="preserve">Colombie</t>
  </si>
  <si>
    <t xml:space="preserve">.km</t>
  </si>
  <si>
    <t xml:space="preserve">KM</t>
  </si>
  <si>
    <t xml:space="preserve">Komoren</t>
  </si>
  <si>
    <t xml:space="preserve">Comore </t>
  </si>
  <si>
    <t xml:space="preserve">Comoros </t>
  </si>
  <si>
    <t xml:space="preserve">Comoras</t>
  </si>
  <si>
    <t xml:space="preserve">Comores</t>
  </si>
  <si>
    <t xml:space="preserve">.cv</t>
  </si>
  <si>
    <t xml:space="preserve">CV</t>
  </si>
  <si>
    <t xml:space="preserve">Kap Verde</t>
  </si>
  <si>
    <t xml:space="preserve">Capo Verde </t>
  </si>
  <si>
    <t xml:space="preserve">Cape Verde </t>
  </si>
  <si>
    <t xml:space="preserve">Cap vert</t>
  </si>
  <si>
    <t xml:space="preserve">.cr</t>
  </si>
  <si>
    <t xml:space="preserve">CR</t>
  </si>
  <si>
    <t xml:space="preserve">Costa Rica </t>
  </si>
  <si>
    <t xml:space="preserve">.cu</t>
  </si>
  <si>
    <t xml:space="preserve">CU</t>
  </si>
  <si>
    <t xml:space="preserve">Kuba</t>
  </si>
  <si>
    <t xml:space="preserve">Cuba </t>
  </si>
  <si>
    <t xml:space="preserve">.cw</t>
  </si>
  <si>
    <t xml:space="preserve">CW</t>
  </si>
  <si>
    <t xml:space="preserve">Curaçao</t>
  </si>
  <si>
    <t xml:space="preserve">Curaçao </t>
  </si>
  <si>
    <t xml:space="preserve">Curazao</t>
  </si>
  <si>
    <t xml:space="preserve">.ky</t>
  </si>
  <si>
    <t xml:space="preserve">KY</t>
  </si>
  <si>
    <t xml:space="preserve">Kaimaninseln</t>
  </si>
  <si>
    <t xml:space="preserve">Isole Cayman </t>
  </si>
  <si>
    <t xml:space="preserve">Cayman Islands </t>
  </si>
  <si>
    <t xml:space="preserve">Islas Caimán</t>
  </si>
  <si>
    <t xml:space="preserve">Îles Caïmans</t>
  </si>
  <si>
    <t xml:space="preserve">.cy</t>
  </si>
  <si>
    <t xml:space="preserve">CY</t>
  </si>
  <si>
    <t xml:space="preserve">Zypern</t>
  </si>
  <si>
    <t xml:space="preserve">Cipro </t>
  </si>
  <si>
    <t xml:space="preserve">Cyprus </t>
  </si>
  <si>
    <t xml:space="preserve">Chipre</t>
  </si>
  <si>
    <t xml:space="preserve">Chypre</t>
  </si>
  <si>
    <t xml:space="preserve">.cz</t>
  </si>
  <si>
    <t xml:space="preserve">CZ</t>
  </si>
  <si>
    <t xml:space="preserve">Tschechische Republik</t>
  </si>
  <si>
    <t xml:space="preserve">Repubblica Ceca </t>
  </si>
  <si>
    <t xml:space="preserve">Czech Republic </t>
  </si>
  <si>
    <t xml:space="preserve">República Checa</t>
  </si>
  <si>
    <t xml:space="preserve">République Tchèque</t>
  </si>
  <si>
    <t xml:space="preserve">.de</t>
  </si>
  <si>
    <t xml:space="preserve">DE</t>
  </si>
  <si>
    <t xml:space="preserve">Germania </t>
  </si>
  <si>
    <t xml:space="preserve">Germany </t>
  </si>
  <si>
    <t xml:space="preserve">Alemania</t>
  </si>
  <si>
    <t xml:space="preserve">Allemagne</t>
  </si>
  <si>
    <t xml:space="preserve">.dj</t>
  </si>
  <si>
    <t xml:space="preserve">DJ</t>
  </si>
  <si>
    <t xml:space="preserve">Dschibuti</t>
  </si>
  <si>
    <t xml:space="preserve">Gibuti </t>
  </si>
  <si>
    <t xml:space="preserve">Djibouti </t>
  </si>
  <si>
    <t xml:space="preserve">Yibuti</t>
  </si>
  <si>
    <t xml:space="preserve">.dm</t>
  </si>
  <si>
    <t xml:space="preserve">DM</t>
  </si>
  <si>
    <t xml:space="preserve">Dominica </t>
  </si>
  <si>
    <t xml:space="preserve">Dominique</t>
  </si>
  <si>
    <t xml:space="preserve">.dk</t>
  </si>
  <si>
    <t xml:space="preserve">DK</t>
  </si>
  <si>
    <t xml:space="preserve">Dänemark</t>
  </si>
  <si>
    <t xml:space="preserve">Danimarca </t>
  </si>
  <si>
    <t xml:space="preserve">Denmark </t>
  </si>
  <si>
    <t xml:space="preserve">Dinamarca</t>
  </si>
  <si>
    <t xml:space="preserve">Danemark</t>
  </si>
  <si>
    <t xml:space="preserve">.do</t>
  </si>
  <si>
    <t xml:space="preserve">DO</t>
  </si>
  <si>
    <t xml:space="preserve">Dominikanische Republik</t>
  </si>
  <si>
    <t xml:space="preserve">Repubblica Dominicana </t>
  </si>
  <si>
    <t xml:space="preserve">Dominican Republic </t>
  </si>
  <si>
    <t xml:space="preserve">República Dominicana</t>
  </si>
  <si>
    <t xml:space="preserve">République Dominicaine</t>
  </si>
  <si>
    <t xml:space="preserve">.dz</t>
  </si>
  <si>
    <t xml:space="preserve">DZ</t>
  </si>
  <si>
    <t xml:space="preserve">Algerien</t>
  </si>
  <si>
    <t xml:space="preserve">Algeria </t>
  </si>
  <si>
    <t xml:space="preserve">Argelia</t>
  </si>
  <si>
    <t xml:space="preserve">Algérie</t>
  </si>
  <si>
    <t xml:space="preserve">.ec</t>
  </si>
  <si>
    <t xml:space="preserve">EC</t>
  </si>
  <si>
    <t xml:space="preserve">Ecuador </t>
  </si>
  <si>
    <t xml:space="preserve">Équateur</t>
  </si>
  <si>
    <t xml:space="preserve">.eg</t>
  </si>
  <si>
    <t xml:space="preserve">EG</t>
  </si>
  <si>
    <t xml:space="preserve">Ägypten</t>
  </si>
  <si>
    <t xml:space="preserve">Egitto </t>
  </si>
  <si>
    <t xml:space="preserve">Egypt </t>
  </si>
  <si>
    <t xml:space="preserve">Egipto</t>
  </si>
  <si>
    <t xml:space="preserve">Égypte</t>
  </si>
  <si>
    <t xml:space="preserve">.er</t>
  </si>
  <si>
    <t xml:space="preserve">ER</t>
  </si>
  <si>
    <t xml:space="preserve">Eritrea </t>
  </si>
  <si>
    <t xml:space="preserve">Érythrée</t>
  </si>
  <si>
    <t xml:space="preserve">.es</t>
  </si>
  <si>
    <t xml:space="preserve">ES</t>
  </si>
  <si>
    <t xml:space="preserve">Spanien</t>
  </si>
  <si>
    <t xml:space="preserve">Spagna </t>
  </si>
  <si>
    <t xml:space="preserve">Spain </t>
  </si>
  <si>
    <t xml:space="preserve">España</t>
  </si>
  <si>
    <t xml:space="preserve">Espagne</t>
  </si>
  <si>
    <t xml:space="preserve">.ee</t>
  </si>
  <si>
    <t xml:space="preserve">EE</t>
  </si>
  <si>
    <t xml:space="preserve">Estland</t>
  </si>
  <si>
    <t xml:space="preserve">Estonia </t>
  </si>
  <si>
    <t xml:space="preserve">Estonie</t>
  </si>
  <si>
    <t xml:space="preserve">.et</t>
  </si>
  <si>
    <t xml:space="preserve">ET</t>
  </si>
  <si>
    <t xml:space="preserve">Äthiopien</t>
  </si>
  <si>
    <t xml:space="preserve">Etiopia </t>
  </si>
  <si>
    <t xml:space="preserve">Ethiopia </t>
  </si>
  <si>
    <t xml:space="preserve">Etiopía</t>
  </si>
  <si>
    <t xml:space="preserve">Éthiopie</t>
  </si>
  <si>
    <t xml:space="preserve">.fi</t>
  </si>
  <si>
    <t xml:space="preserve">FI</t>
  </si>
  <si>
    <t xml:space="preserve">Finnland</t>
  </si>
  <si>
    <t xml:space="preserve">Finlandia </t>
  </si>
  <si>
    <t xml:space="preserve">Finland </t>
  </si>
  <si>
    <t xml:space="preserve">Finlandia</t>
  </si>
  <si>
    <t xml:space="preserve">Finlande</t>
  </si>
  <si>
    <t xml:space="preserve">.fj</t>
  </si>
  <si>
    <t xml:space="preserve">FJ</t>
  </si>
  <si>
    <t xml:space="preserve">Fidschi</t>
  </si>
  <si>
    <t xml:space="preserve">Figi </t>
  </si>
  <si>
    <t xml:space="preserve">Fiji </t>
  </si>
  <si>
    <t xml:space="preserve">Fiyi</t>
  </si>
  <si>
    <t xml:space="preserve">.fr</t>
  </si>
  <si>
    <t xml:space="preserve">FR</t>
  </si>
  <si>
    <t xml:space="preserve">Frankreich</t>
  </si>
  <si>
    <t xml:space="preserve">Francia </t>
  </si>
  <si>
    <t xml:space="preserve">France </t>
  </si>
  <si>
    <t xml:space="preserve">Francia</t>
  </si>
  <si>
    <t xml:space="preserve">.fo</t>
  </si>
  <si>
    <t xml:space="preserve">FO</t>
  </si>
  <si>
    <t xml:space="preserve">Färöer</t>
  </si>
  <si>
    <t xml:space="preserve">Isole Fær Øer </t>
  </si>
  <si>
    <t xml:space="preserve">Faroe Islands </t>
  </si>
  <si>
    <t xml:space="preserve">Islas Feroe</t>
  </si>
  <si>
    <t xml:space="preserve">Îles Féroé</t>
  </si>
  <si>
    <t xml:space="preserve">.fm</t>
  </si>
  <si>
    <t xml:space="preserve">FM</t>
  </si>
  <si>
    <t xml:space="preserve">Mikronesien</t>
  </si>
  <si>
    <t xml:space="preserve">Micronesia </t>
  </si>
  <si>
    <t xml:space="preserve">Micronesia, Federated States of </t>
  </si>
  <si>
    <t xml:space="preserve">Micronesia</t>
  </si>
  <si>
    <t xml:space="preserve">Micronésie</t>
  </si>
  <si>
    <t xml:space="preserve">.ga</t>
  </si>
  <si>
    <t xml:space="preserve">GA</t>
  </si>
  <si>
    <t xml:space="preserve">Gabun</t>
  </si>
  <si>
    <t xml:space="preserve">Gabon </t>
  </si>
  <si>
    <t xml:space="preserve">Gabón</t>
  </si>
  <si>
    <t xml:space="preserve">.uk</t>
  </si>
  <si>
    <t xml:space="preserve">GB</t>
  </si>
  <si>
    <t xml:space="preserve">Vereinigtes Königreich Großbritannien und Nordirland</t>
  </si>
  <si>
    <t xml:space="preserve">Regno Unito </t>
  </si>
  <si>
    <t xml:space="preserve">United Kingdom </t>
  </si>
  <si>
    <t xml:space="preserve">Reino Unido</t>
  </si>
  <si>
    <t xml:space="preserve">Royaume-Uni</t>
  </si>
  <si>
    <t xml:space="preserve">.ge</t>
  </si>
  <si>
    <t xml:space="preserve">GE</t>
  </si>
  <si>
    <t xml:space="preserve">Georgien</t>
  </si>
  <si>
    <t xml:space="preserve">Georgia </t>
  </si>
  <si>
    <t xml:space="preserve">État de Géorgie</t>
  </si>
  <si>
    <t xml:space="preserve">.gh</t>
  </si>
  <si>
    <t xml:space="preserve">GH</t>
  </si>
  <si>
    <t xml:space="preserve">Ghana </t>
  </si>
  <si>
    <t xml:space="preserve">.gi</t>
  </si>
  <si>
    <t xml:space="preserve">GI</t>
  </si>
  <si>
    <t xml:space="preserve">Gibilterra </t>
  </si>
  <si>
    <t xml:space="preserve">Gibraltar </t>
  </si>
  <si>
    <t xml:space="preserve">Gribraltar</t>
  </si>
  <si>
    <t xml:space="preserve">.gn</t>
  </si>
  <si>
    <t xml:space="preserve">GN</t>
  </si>
  <si>
    <t xml:space="preserve">Guinea </t>
  </si>
  <si>
    <t xml:space="preserve">Guinée</t>
  </si>
  <si>
    <t xml:space="preserve">.gm</t>
  </si>
  <si>
    <t xml:space="preserve">GM</t>
  </si>
  <si>
    <t xml:space="preserve">Gambia</t>
  </si>
  <si>
    <t xml:space="preserve">Gambia </t>
  </si>
  <si>
    <t xml:space="preserve">Gambie</t>
  </si>
  <si>
    <t xml:space="preserve">.gw</t>
  </si>
  <si>
    <t xml:space="preserve">GW</t>
  </si>
  <si>
    <t xml:space="preserve">Guinea-Bissau </t>
  </si>
  <si>
    <t xml:space="preserve">Guinea-Bisáu</t>
  </si>
  <si>
    <t xml:space="preserve">Guinée-Bissau</t>
  </si>
  <si>
    <t xml:space="preserve">.gq</t>
  </si>
  <si>
    <t xml:space="preserve">GQ</t>
  </si>
  <si>
    <t xml:space="preserve">Äquatorialguinea</t>
  </si>
  <si>
    <t xml:space="preserve">Guinea Equatoriale </t>
  </si>
  <si>
    <t xml:space="preserve">Equatorial Guinea </t>
  </si>
  <si>
    <t xml:space="preserve">Guinea Ecuatorial</t>
  </si>
  <si>
    <t xml:space="preserve">Guinée équatoriale</t>
  </si>
  <si>
    <t xml:space="preserve">.gr</t>
  </si>
  <si>
    <t xml:space="preserve">GR</t>
  </si>
  <si>
    <t xml:space="preserve">Griechenland</t>
  </si>
  <si>
    <t xml:space="preserve">Grecia </t>
  </si>
  <si>
    <t xml:space="preserve">Greece </t>
  </si>
  <si>
    <t xml:space="preserve">Grecia</t>
  </si>
  <si>
    <t xml:space="preserve">Grèce</t>
  </si>
  <si>
    <t xml:space="preserve">.gd</t>
  </si>
  <si>
    <t xml:space="preserve">GD</t>
  </si>
  <si>
    <t xml:space="preserve">Grenada </t>
  </si>
  <si>
    <t xml:space="preserve">Granada</t>
  </si>
  <si>
    <t xml:space="preserve">Grenade</t>
  </si>
  <si>
    <t xml:space="preserve">.gl</t>
  </si>
  <si>
    <t xml:space="preserve">GL</t>
  </si>
  <si>
    <t xml:space="preserve">Grönland</t>
  </si>
  <si>
    <t xml:space="preserve">Groenlandia </t>
  </si>
  <si>
    <t xml:space="preserve">Greenland </t>
  </si>
  <si>
    <t xml:space="preserve">Groenlandia</t>
  </si>
  <si>
    <t xml:space="preserve">Groenland</t>
  </si>
  <si>
    <t xml:space="preserve">.gt</t>
  </si>
  <si>
    <t xml:space="preserve">GT</t>
  </si>
  <si>
    <t xml:space="preserve">Guatemala </t>
  </si>
  <si>
    <t xml:space="preserve">Guatémala</t>
  </si>
  <si>
    <t xml:space="preserve">.gu</t>
  </si>
  <si>
    <t xml:space="preserve">GU</t>
  </si>
  <si>
    <t xml:space="preserve">Guam </t>
  </si>
  <si>
    <t xml:space="preserve">.gy</t>
  </si>
  <si>
    <t xml:space="preserve">GY</t>
  </si>
  <si>
    <t xml:space="preserve">Guyana </t>
  </si>
  <si>
    <t xml:space="preserve">Guyane</t>
  </si>
  <si>
    <t xml:space="preserve">.hk</t>
  </si>
  <si>
    <t xml:space="preserve">HK</t>
  </si>
  <si>
    <t xml:space="preserve">Hongkong</t>
  </si>
  <si>
    <t xml:space="preserve">Hong Kong </t>
  </si>
  <si>
    <t xml:space="preserve">Hong Kong</t>
  </si>
  <si>
    <t xml:space="preserve">.hn</t>
  </si>
  <si>
    <t xml:space="preserve">HN</t>
  </si>
  <si>
    <t xml:space="preserve">Honduras </t>
  </si>
  <si>
    <t xml:space="preserve">.hr</t>
  </si>
  <si>
    <t xml:space="preserve">HR</t>
  </si>
  <si>
    <t xml:space="preserve">Kroatien</t>
  </si>
  <si>
    <t xml:space="preserve">Croazia </t>
  </si>
  <si>
    <t xml:space="preserve">Croatia </t>
  </si>
  <si>
    <t xml:space="preserve">Croacia</t>
  </si>
  <si>
    <t xml:space="preserve">Croatie</t>
  </si>
  <si>
    <t xml:space="preserve">.ht</t>
  </si>
  <si>
    <t xml:space="preserve">HT</t>
  </si>
  <si>
    <t xml:space="preserve">Haiti </t>
  </si>
  <si>
    <t xml:space="preserve">Haití</t>
  </si>
  <si>
    <t xml:space="preserve">Haïti</t>
  </si>
  <si>
    <t xml:space="preserve">.hu</t>
  </si>
  <si>
    <t xml:space="preserve">HU</t>
  </si>
  <si>
    <t xml:space="preserve">Ungarn</t>
  </si>
  <si>
    <t xml:space="preserve">Ungheria </t>
  </si>
  <si>
    <t xml:space="preserve">Hungary </t>
  </si>
  <si>
    <t xml:space="preserve">Hungría</t>
  </si>
  <si>
    <t xml:space="preserve">Hongrie</t>
  </si>
  <si>
    <t xml:space="preserve">.id</t>
  </si>
  <si>
    <t xml:space="preserve">ID</t>
  </si>
  <si>
    <t xml:space="preserve">Indonesien</t>
  </si>
  <si>
    <t xml:space="preserve">Indonesia </t>
  </si>
  <si>
    <t xml:space="preserve">Indonésie</t>
  </si>
  <si>
    <t xml:space="preserve">.im</t>
  </si>
  <si>
    <t xml:space="preserve">IM</t>
  </si>
  <si>
    <t xml:space="preserve">Insel Man</t>
  </si>
  <si>
    <t xml:space="preserve">Isola di Man </t>
  </si>
  <si>
    <t xml:space="preserve">Isle of Man </t>
  </si>
  <si>
    <t xml:space="preserve">Isla de Man</t>
  </si>
  <si>
    <t xml:space="preserve">Île de Man</t>
  </si>
  <si>
    <t xml:space="preserve">.in</t>
  </si>
  <si>
    <t xml:space="preserve">IN</t>
  </si>
  <si>
    <t xml:space="preserve">Indien</t>
  </si>
  <si>
    <t xml:space="preserve">India </t>
  </si>
  <si>
    <t xml:space="preserve">Inde</t>
  </si>
  <si>
    <t xml:space="preserve">.ie</t>
  </si>
  <si>
    <t xml:space="preserve">IE</t>
  </si>
  <si>
    <t xml:space="preserve">Irland</t>
  </si>
  <si>
    <t xml:space="preserve">Irlanda </t>
  </si>
  <si>
    <t xml:space="preserve">Ireland </t>
  </si>
  <si>
    <t xml:space="preserve">Irlanda</t>
  </si>
  <si>
    <t xml:space="preserve">Irlande</t>
  </si>
  <si>
    <t xml:space="preserve">.ir</t>
  </si>
  <si>
    <t xml:space="preserve">IR</t>
  </si>
  <si>
    <t xml:space="preserve">Iran, Islamische Republik</t>
  </si>
  <si>
    <t xml:space="preserve">Iran </t>
  </si>
  <si>
    <t xml:space="preserve">Iran, Islamic Republic of </t>
  </si>
  <si>
    <t xml:space="preserve">Irán</t>
  </si>
  <si>
    <t xml:space="preserve">Iran</t>
  </si>
  <si>
    <t xml:space="preserve">.iq</t>
  </si>
  <si>
    <t xml:space="preserve">IQ</t>
  </si>
  <si>
    <t xml:space="preserve">Irak</t>
  </si>
  <si>
    <t xml:space="preserve">Iraq </t>
  </si>
  <si>
    <t xml:space="preserve">.is</t>
  </si>
  <si>
    <t xml:space="preserve">IS</t>
  </si>
  <si>
    <t xml:space="preserve">Island</t>
  </si>
  <si>
    <t xml:space="preserve">Islanda </t>
  </si>
  <si>
    <t xml:space="preserve">Iceland </t>
  </si>
  <si>
    <t xml:space="preserve">Islandia</t>
  </si>
  <si>
    <t xml:space="preserve">Islande</t>
  </si>
  <si>
    <t xml:space="preserve">.il</t>
  </si>
  <si>
    <t xml:space="preserve">IL</t>
  </si>
  <si>
    <t xml:space="preserve">Israele </t>
  </si>
  <si>
    <t xml:space="preserve">Israel </t>
  </si>
  <si>
    <t xml:space="preserve">Israël</t>
  </si>
  <si>
    <t xml:space="preserve">.it</t>
  </si>
  <si>
    <t xml:space="preserve">IT</t>
  </si>
  <si>
    <t xml:space="preserve">Italien</t>
  </si>
  <si>
    <t xml:space="preserve">Italia </t>
  </si>
  <si>
    <t xml:space="preserve">Italy </t>
  </si>
  <si>
    <t xml:space="preserve">Italia</t>
  </si>
  <si>
    <t xml:space="preserve">Italie</t>
  </si>
  <si>
    <t xml:space="preserve">.jm</t>
  </si>
  <si>
    <t xml:space="preserve">JM</t>
  </si>
  <si>
    <t xml:space="preserve">Jamaika</t>
  </si>
  <si>
    <t xml:space="preserve">Giamaica </t>
  </si>
  <si>
    <t xml:space="preserve">Jamaica </t>
  </si>
  <si>
    <t xml:space="preserve">Jamaïque</t>
  </si>
  <si>
    <t xml:space="preserve">.jo</t>
  </si>
  <si>
    <t xml:space="preserve">JO</t>
  </si>
  <si>
    <t xml:space="preserve">Jordanien</t>
  </si>
  <si>
    <t xml:space="preserve">Giordania </t>
  </si>
  <si>
    <t xml:space="preserve">Jordan </t>
  </si>
  <si>
    <t xml:space="preserve">Jordania</t>
  </si>
  <si>
    <t xml:space="preserve">Jordanie</t>
  </si>
  <si>
    <t xml:space="preserve">.jp</t>
  </si>
  <si>
    <t xml:space="preserve">JP</t>
  </si>
  <si>
    <t xml:space="preserve">Giappone </t>
  </si>
  <si>
    <t xml:space="preserve">Japan </t>
  </si>
  <si>
    <t xml:space="preserve">Japón</t>
  </si>
  <si>
    <t xml:space="preserve">Japon</t>
  </si>
  <si>
    <t xml:space="preserve">.kz</t>
  </si>
  <si>
    <t xml:space="preserve">KZ</t>
  </si>
  <si>
    <t xml:space="preserve">Kasachstan</t>
  </si>
  <si>
    <t xml:space="preserve">Kazakistan </t>
  </si>
  <si>
    <t xml:space="preserve">Kazakhstan </t>
  </si>
  <si>
    <t xml:space="preserve">Kazajistán</t>
  </si>
  <si>
    <t xml:space="preserve">.ke</t>
  </si>
  <si>
    <t xml:space="preserve">KE</t>
  </si>
  <si>
    <t xml:space="preserve">Kenia</t>
  </si>
  <si>
    <t xml:space="preserve">Kenya </t>
  </si>
  <si>
    <t xml:space="preserve">.kg</t>
  </si>
  <si>
    <t xml:space="preserve">KG</t>
  </si>
  <si>
    <t xml:space="preserve">Kirgisistan</t>
  </si>
  <si>
    <t xml:space="preserve">Kirghizistan </t>
  </si>
  <si>
    <t xml:space="preserve">Kyrgyzstan </t>
  </si>
  <si>
    <t xml:space="preserve">Kirguistán</t>
  </si>
  <si>
    <t xml:space="preserve">Kirghizistan</t>
  </si>
  <si>
    <t xml:space="preserve">.kh</t>
  </si>
  <si>
    <t xml:space="preserve">KH</t>
  </si>
  <si>
    <t xml:space="preserve">Kambodscha</t>
  </si>
  <si>
    <t xml:space="preserve">Cambogia </t>
  </si>
  <si>
    <t xml:space="preserve">Cambodia </t>
  </si>
  <si>
    <t xml:space="preserve">Camboya</t>
  </si>
  <si>
    <t xml:space="preserve">Cambodge</t>
  </si>
  <si>
    <t xml:space="preserve">.ki</t>
  </si>
  <si>
    <t xml:space="preserve">KI</t>
  </si>
  <si>
    <t xml:space="preserve">Kiribati </t>
  </si>
  <si>
    <t xml:space="preserve">.kn</t>
  </si>
  <si>
    <t xml:space="preserve">KN</t>
  </si>
  <si>
    <t xml:space="preserve">St. Kitts und Nevis</t>
  </si>
  <si>
    <t xml:space="preserve">Saint Kitts e Nevis </t>
  </si>
  <si>
    <t xml:space="preserve">Saint Kitts and Nevis </t>
  </si>
  <si>
    <t xml:space="preserve">San Cristóbal y Nieves</t>
  </si>
  <si>
    <t xml:space="preserve">Saint-Kitts-et-Nevis</t>
  </si>
  <si>
    <t xml:space="preserve">.kr</t>
  </si>
  <si>
    <t xml:space="preserve">KR</t>
  </si>
  <si>
    <t xml:space="preserve">Korea, Republik (Südkorea)</t>
  </si>
  <si>
    <t xml:space="preserve">Corea del Sud </t>
  </si>
  <si>
    <t xml:space="preserve">Korea, Republic of </t>
  </si>
  <si>
    <t xml:space="preserve">Corea del Sur</t>
  </si>
  <si>
    <t xml:space="preserve">Corée du Sud</t>
  </si>
  <si>
    <t xml:space="preserve">.kw</t>
  </si>
  <si>
    <t xml:space="preserve">KW</t>
  </si>
  <si>
    <t xml:space="preserve">Kuwait </t>
  </si>
  <si>
    <t xml:space="preserve">Koweït</t>
  </si>
  <si>
    <t xml:space="preserve">.la</t>
  </si>
  <si>
    <t xml:space="preserve">LA</t>
  </si>
  <si>
    <t xml:space="preserve">Laos, Demokratische Volksrepublik</t>
  </si>
  <si>
    <t xml:space="preserve">Laos </t>
  </si>
  <si>
    <t xml:space="preserve">Lao People's Democratic Republic </t>
  </si>
  <si>
    <t xml:space="preserve">Laos</t>
  </si>
  <si>
    <t xml:space="preserve">.lb</t>
  </si>
  <si>
    <t xml:space="preserve">LB</t>
  </si>
  <si>
    <t xml:space="preserve">Libanon</t>
  </si>
  <si>
    <t xml:space="preserve">Libano </t>
  </si>
  <si>
    <t xml:space="preserve">Lebanon </t>
  </si>
  <si>
    <t xml:space="preserve">Líbano</t>
  </si>
  <si>
    <t xml:space="preserve">Liban</t>
  </si>
  <si>
    <t xml:space="preserve">.lr</t>
  </si>
  <si>
    <t xml:space="preserve">LR</t>
  </si>
  <si>
    <t xml:space="preserve">Liberia </t>
  </si>
  <si>
    <t xml:space="preserve">Libéria</t>
  </si>
  <si>
    <t xml:space="preserve">.ly</t>
  </si>
  <si>
    <t xml:space="preserve">LY</t>
  </si>
  <si>
    <t xml:space="preserve">Libyen</t>
  </si>
  <si>
    <t xml:space="preserve">Libia </t>
  </si>
  <si>
    <t xml:space="preserve">Libya </t>
  </si>
  <si>
    <t xml:space="preserve">Libia</t>
  </si>
  <si>
    <t xml:space="preserve">Libye</t>
  </si>
  <si>
    <t xml:space="preserve">.lc</t>
  </si>
  <si>
    <t xml:space="preserve">LC</t>
  </si>
  <si>
    <t xml:space="preserve">Santa Lucia </t>
  </si>
  <si>
    <t xml:space="preserve">Saint Lucia </t>
  </si>
  <si>
    <t xml:space="preserve">Santa Lucía</t>
  </si>
  <si>
    <t xml:space="preserve">Sainte-Lucie</t>
  </si>
  <si>
    <t xml:space="preserve">.li</t>
  </si>
  <si>
    <t xml:space="preserve">LI</t>
  </si>
  <si>
    <t xml:space="preserve">Liechtenstein </t>
  </si>
  <si>
    <t xml:space="preserve">.lk</t>
  </si>
  <si>
    <t xml:space="preserve">LK</t>
  </si>
  <si>
    <t xml:space="preserve">Sri Lanka </t>
  </si>
  <si>
    <t xml:space="preserve">.ls</t>
  </si>
  <si>
    <t xml:space="preserve">LS</t>
  </si>
  <si>
    <t xml:space="preserve">Lesotho </t>
  </si>
  <si>
    <t xml:space="preserve">Lesoto</t>
  </si>
  <si>
    <t xml:space="preserve">.lt</t>
  </si>
  <si>
    <t xml:space="preserve">LT</t>
  </si>
  <si>
    <t xml:space="preserve">Litauen</t>
  </si>
  <si>
    <t xml:space="preserve">Lituania </t>
  </si>
  <si>
    <t xml:space="preserve">Lithuania </t>
  </si>
  <si>
    <t xml:space="preserve">Lituania</t>
  </si>
  <si>
    <t xml:space="preserve">Lituanie</t>
  </si>
  <si>
    <t xml:space="preserve">.lu</t>
  </si>
  <si>
    <t xml:space="preserve">LU</t>
  </si>
  <si>
    <t xml:space="preserve">Luxemburg</t>
  </si>
  <si>
    <t xml:space="preserve">Lussemburgo </t>
  </si>
  <si>
    <t xml:space="preserve">Luxembourg </t>
  </si>
  <si>
    <t xml:space="preserve">Luxemburgo</t>
  </si>
  <si>
    <t xml:space="preserve">.lv</t>
  </si>
  <si>
    <t xml:space="preserve">LV</t>
  </si>
  <si>
    <t xml:space="preserve">Lettland</t>
  </si>
  <si>
    <t xml:space="preserve">Lettonia </t>
  </si>
  <si>
    <t xml:space="preserve">Latvia </t>
  </si>
  <si>
    <t xml:space="preserve">Letonia</t>
  </si>
  <si>
    <t xml:space="preserve">Lettonie</t>
  </si>
  <si>
    <t xml:space="preserve">.mo</t>
  </si>
  <si>
    <t xml:space="preserve">MO</t>
  </si>
  <si>
    <t xml:space="preserve">Macao</t>
  </si>
  <si>
    <t xml:space="preserve">Macao </t>
  </si>
  <si>
    <t xml:space="preserve">.gp</t>
  </si>
  <si>
    <t xml:space="preserve">MF</t>
  </si>
  <si>
    <t xml:space="preserve">Saint-Martin (franz. Teil)</t>
  </si>
  <si>
    <t xml:space="preserve">Saint-Martin </t>
  </si>
  <si>
    <t xml:space="preserve">Saint Martin (French part) </t>
  </si>
  <si>
    <t xml:space="preserve">San Martín</t>
  </si>
  <si>
    <t xml:space="preserve">Saint-Martin</t>
  </si>
  <si>
    <t xml:space="preserve">.ma</t>
  </si>
  <si>
    <t xml:space="preserve">MA</t>
  </si>
  <si>
    <t xml:space="preserve">Marokko</t>
  </si>
  <si>
    <t xml:space="preserve">Marocco </t>
  </si>
  <si>
    <t xml:space="preserve">Morocco </t>
  </si>
  <si>
    <t xml:space="preserve">Marruecos</t>
  </si>
  <si>
    <t xml:space="preserve">Maroc</t>
  </si>
  <si>
    <t xml:space="preserve">.mc</t>
  </si>
  <si>
    <t xml:space="preserve">MC</t>
  </si>
  <si>
    <t xml:space="preserve">di Monaco Monaco </t>
  </si>
  <si>
    <t xml:space="preserve">Monaco </t>
  </si>
  <si>
    <t xml:space="preserve">Mónaco</t>
  </si>
  <si>
    <t xml:space="preserve">.md</t>
  </si>
  <si>
    <t xml:space="preserve">MD</t>
  </si>
  <si>
    <t xml:space="preserve">Moldawien (Republik Moldau)</t>
  </si>
  <si>
    <t xml:space="preserve">Moldavia </t>
  </si>
  <si>
    <t xml:space="preserve">Moldova, Republic of </t>
  </si>
  <si>
    <t xml:space="preserve">Moldavia</t>
  </si>
  <si>
    <t xml:space="preserve">Moldavie</t>
  </si>
  <si>
    <t xml:space="preserve">.mg</t>
  </si>
  <si>
    <t xml:space="preserve">MG</t>
  </si>
  <si>
    <t xml:space="preserve">Madagaskar</t>
  </si>
  <si>
    <t xml:space="preserve">Madagascar </t>
  </si>
  <si>
    <t xml:space="preserve">.mv</t>
  </si>
  <si>
    <t xml:space="preserve">MV</t>
  </si>
  <si>
    <t xml:space="preserve">Malediven</t>
  </si>
  <si>
    <t xml:space="preserve">Maldive </t>
  </si>
  <si>
    <t xml:space="preserve">Maldives </t>
  </si>
  <si>
    <t xml:space="preserve">Maldivas</t>
  </si>
  <si>
    <t xml:space="preserve">.mx</t>
  </si>
  <si>
    <t xml:space="preserve">MX</t>
  </si>
  <si>
    <t xml:space="preserve">Mexiko</t>
  </si>
  <si>
    <t xml:space="preserve">Messico </t>
  </si>
  <si>
    <t xml:space="preserve">Mexico </t>
  </si>
  <si>
    <t xml:space="preserve">México</t>
  </si>
  <si>
    <t xml:space="preserve">Mexique</t>
  </si>
  <si>
    <t xml:space="preserve">.mh</t>
  </si>
  <si>
    <t xml:space="preserve">MH</t>
  </si>
  <si>
    <t xml:space="preserve">Marshallinseln</t>
  </si>
  <si>
    <t xml:space="preserve">Isole Marshall </t>
  </si>
  <si>
    <t xml:space="preserve">Marshall Islands </t>
  </si>
  <si>
    <t xml:space="preserve">Islas Marshall</t>
  </si>
  <si>
    <t xml:space="preserve">Îles Marshall</t>
  </si>
  <si>
    <t xml:space="preserve">.mk</t>
  </si>
  <si>
    <t xml:space="preserve">MK</t>
  </si>
  <si>
    <t xml:space="preserve">Mazedonien</t>
  </si>
  <si>
    <t xml:space="preserve">Repubblica di Macedonia </t>
  </si>
  <si>
    <t xml:space="preserve">Macedonia, The Former Yugoslav Republic of </t>
  </si>
  <si>
    <t xml:space="preserve">República de Macedonia</t>
  </si>
  <si>
    <t xml:space="preserve">Macédoine</t>
  </si>
  <si>
    <t xml:space="preserve">.ml</t>
  </si>
  <si>
    <t xml:space="preserve">ML</t>
  </si>
  <si>
    <t xml:space="preserve">Mali </t>
  </si>
  <si>
    <t xml:space="preserve">Malí</t>
  </si>
  <si>
    <t xml:space="preserve">.mt</t>
  </si>
  <si>
    <t xml:space="preserve">MT</t>
  </si>
  <si>
    <t xml:space="preserve">Malta </t>
  </si>
  <si>
    <t xml:space="preserve">Malte</t>
  </si>
  <si>
    <t xml:space="preserve">.mm</t>
  </si>
  <si>
    <t xml:space="preserve">MM</t>
  </si>
  <si>
    <t xml:space="preserve">Myanmar (Burma)</t>
  </si>
  <si>
    <t xml:space="preserve">Birmania </t>
  </si>
  <si>
    <t xml:space="preserve">Myanmar </t>
  </si>
  <si>
    <t xml:space="preserve">Birmania</t>
  </si>
  <si>
    <t xml:space="preserve">.me</t>
  </si>
  <si>
    <t xml:space="preserve">ME</t>
  </si>
  <si>
    <t xml:space="preserve">Montenegro </t>
  </si>
  <si>
    <t xml:space="preserve">Monténégro</t>
  </si>
  <si>
    <t xml:space="preserve">.mn</t>
  </si>
  <si>
    <t xml:space="preserve">MN</t>
  </si>
  <si>
    <t xml:space="preserve">Mongolei</t>
  </si>
  <si>
    <t xml:space="preserve">Mongolia </t>
  </si>
  <si>
    <t xml:space="preserve">Mongolie</t>
  </si>
  <si>
    <t xml:space="preserve">.mp</t>
  </si>
  <si>
    <t xml:space="preserve">MP</t>
  </si>
  <si>
    <t xml:space="preserve">Nördliche Marianen</t>
  </si>
  <si>
    <t xml:space="preserve">Isole Marianne Settentrionali </t>
  </si>
  <si>
    <t xml:space="preserve">Northern Mariana Islands </t>
  </si>
  <si>
    <t xml:space="preserve">Islas Marianas del Norte</t>
  </si>
  <si>
    <t xml:space="preserve">Îles Mariannes du Nord</t>
  </si>
  <si>
    <t xml:space="preserve">.mz</t>
  </si>
  <si>
    <t xml:space="preserve">MZ</t>
  </si>
  <si>
    <t xml:space="preserve">Mosambik</t>
  </si>
  <si>
    <t xml:space="preserve">Mozambico </t>
  </si>
  <si>
    <t xml:space="preserve">Mozambique </t>
  </si>
  <si>
    <t xml:space="preserve">.mr</t>
  </si>
  <si>
    <t xml:space="preserve">MR</t>
  </si>
  <si>
    <t xml:space="preserve">Mauretanien</t>
  </si>
  <si>
    <t xml:space="preserve">Mauritania </t>
  </si>
  <si>
    <t xml:space="preserve">Mauritanie</t>
  </si>
  <si>
    <t xml:space="preserve">.mu</t>
  </si>
  <si>
    <t xml:space="preserve">MU</t>
  </si>
  <si>
    <t xml:space="preserve">Mauritius </t>
  </si>
  <si>
    <t xml:space="preserve">Mauricio</t>
  </si>
  <si>
    <t xml:space="preserve">Île Maurice</t>
  </si>
  <si>
    <t xml:space="preserve">.mw</t>
  </si>
  <si>
    <t xml:space="preserve">MW</t>
  </si>
  <si>
    <t xml:space="preserve">Malawi </t>
  </si>
  <si>
    <t xml:space="preserve">Malaui</t>
  </si>
  <si>
    <t xml:space="preserve">.my</t>
  </si>
  <si>
    <t xml:space="preserve">MY</t>
  </si>
  <si>
    <t xml:space="preserve">Malesia </t>
  </si>
  <si>
    <t xml:space="preserve">Malaysia </t>
  </si>
  <si>
    <t xml:space="preserve">Malasia</t>
  </si>
  <si>
    <t xml:space="preserve">Malaysie</t>
  </si>
  <si>
    <t xml:space="preserve">.na</t>
  </si>
  <si>
    <t xml:space="preserve">NA</t>
  </si>
  <si>
    <t xml:space="preserve">Namibia </t>
  </si>
  <si>
    <t xml:space="preserve">Namibie</t>
  </si>
  <si>
    <t xml:space="preserve">.nc</t>
  </si>
  <si>
    <t xml:space="preserve">NC</t>
  </si>
  <si>
    <t xml:space="preserve">Neukaledonien</t>
  </si>
  <si>
    <t xml:space="preserve">Nuova Caledonia </t>
  </si>
  <si>
    <t xml:space="preserve">New Caledonia </t>
  </si>
  <si>
    <t xml:space="preserve">Nueva Caledonia</t>
  </si>
  <si>
    <t xml:space="preserve">Nouvelle-Calédonie</t>
  </si>
  <si>
    <t xml:space="preserve">.ne</t>
  </si>
  <si>
    <t xml:space="preserve">NE</t>
  </si>
  <si>
    <t xml:space="preserve">Niger </t>
  </si>
  <si>
    <t xml:space="preserve">Níger</t>
  </si>
  <si>
    <t xml:space="preserve">.ng</t>
  </si>
  <si>
    <t xml:space="preserve">NG</t>
  </si>
  <si>
    <t xml:space="preserve">Nigeria </t>
  </si>
  <si>
    <t xml:space="preserve">Nigéria</t>
  </si>
  <si>
    <t xml:space="preserve">.ni</t>
  </si>
  <si>
    <t xml:space="preserve">NI</t>
  </si>
  <si>
    <t xml:space="preserve">Nicaragua </t>
  </si>
  <si>
    <t xml:space="preserve">.nl</t>
  </si>
  <si>
    <t xml:space="preserve">NL</t>
  </si>
  <si>
    <t xml:space="preserve">Niederlande</t>
  </si>
  <si>
    <t xml:space="preserve">Paesi Bassi </t>
  </si>
  <si>
    <t xml:space="preserve">Netherlands </t>
  </si>
  <si>
    <t xml:space="preserve">Países Bajos</t>
  </si>
  <si>
    <t xml:space="preserve">Pays-Bas</t>
  </si>
  <si>
    <t xml:space="preserve">.no</t>
  </si>
  <si>
    <t xml:space="preserve">NO</t>
  </si>
  <si>
    <t xml:space="preserve">Norwegen</t>
  </si>
  <si>
    <t xml:space="preserve">Norvegia </t>
  </si>
  <si>
    <t xml:space="preserve">Norway </t>
  </si>
  <si>
    <t xml:space="preserve">Noruega</t>
  </si>
  <si>
    <t xml:space="preserve">Norvège</t>
  </si>
  <si>
    <t xml:space="preserve">.np</t>
  </si>
  <si>
    <t xml:space="preserve">NP</t>
  </si>
  <si>
    <t xml:space="preserve">Nepal </t>
  </si>
  <si>
    <t xml:space="preserve">Népal</t>
  </si>
  <si>
    <t xml:space="preserve">.nr</t>
  </si>
  <si>
    <t xml:space="preserve">NR</t>
  </si>
  <si>
    <t xml:space="preserve">Nauru </t>
  </si>
  <si>
    <t xml:space="preserve">.nz</t>
  </si>
  <si>
    <t xml:space="preserve">NZ</t>
  </si>
  <si>
    <t xml:space="preserve">Neuseeland</t>
  </si>
  <si>
    <t xml:space="preserve">Nuova Zelanda </t>
  </si>
  <si>
    <t xml:space="preserve">New Zealand </t>
  </si>
  <si>
    <t xml:space="preserve">Nueva Zelanda</t>
  </si>
  <si>
    <t xml:space="preserve">Nouvelle Zélande</t>
  </si>
  <si>
    <t xml:space="preserve">.om</t>
  </si>
  <si>
    <t xml:space="preserve">OM</t>
  </si>
  <si>
    <t xml:space="preserve">Oman </t>
  </si>
  <si>
    <t xml:space="preserve">Omán</t>
  </si>
  <si>
    <t xml:space="preserve">.pk</t>
  </si>
  <si>
    <t xml:space="preserve">PK</t>
  </si>
  <si>
    <t xml:space="preserve">Pakistan </t>
  </si>
  <si>
    <t xml:space="preserve">Pakistán</t>
  </si>
  <si>
    <t xml:space="preserve">.pa</t>
  </si>
  <si>
    <t xml:space="preserve">PA</t>
  </si>
  <si>
    <t xml:space="preserve">Panamá </t>
  </si>
  <si>
    <t xml:space="preserve">Panama </t>
  </si>
  <si>
    <t xml:space="preserve">Panamá</t>
  </si>
  <si>
    <t xml:space="preserve">.pe</t>
  </si>
  <si>
    <t xml:space="preserve">PE</t>
  </si>
  <si>
    <t xml:space="preserve">Perù </t>
  </si>
  <si>
    <t xml:space="preserve">Peru </t>
  </si>
  <si>
    <t xml:space="preserve">Perú</t>
  </si>
  <si>
    <t xml:space="preserve">Pérou</t>
  </si>
  <si>
    <t xml:space="preserve">.ph</t>
  </si>
  <si>
    <t xml:space="preserve">PH</t>
  </si>
  <si>
    <t xml:space="preserve">Philippinen</t>
  </si>
  <si>
    <t xml:space="preserve">Filippine </t>
  </si>
  <si>
    <t xml:space="preserve">Philippines </t>
  </si>
  <si>
    <t xml:space="preserve">Filipinas</t>
  </si>
  <si>
    <t xml:space="preserve">.pw</t>
  </si>
  <si>
    <t xml:space="preserve">PW</t>
  </si>
  <si>
    <t xml:space="preserve">Palau </t>
  </si>
  <si>
    <t xml:space="preserve">Palaos</t>
  </si>
  <si>
    <t xml:space="preserve">.pg</t>
  </si>
  <si>
    <t xml:space="preserve">PG</t>
  </si>
  <si>
    <t xml:space="preserve">Papua-Neuguinea</t>
  </si>
  <si>
    <t xml:space="preserve">Papua Nuova Guinea </t>
  </si>
  <si>
    <t xml:space="preserve">Papua New Guinea </t>
  </si>
  <si>
    <t xml:space="preserve">Papúa Nueva Guinea</t>
  </si>
  <si>
    <t xml:space="preserve">Papouasie-Nouvelle-Guinée</t>
  </si>
  <si>
    <t xml:space="preserve">.pl</t>
  </si>
  <si>
    <t xml:space="preserve">PL</t>
  </si>
  <si>
    <t xml:space="preserve">Polen</t>
  </si>
  <si>
    <t xml:space="preserve">Polonia </t>
  </si>
  <si>
    <t xml:space="preserve">Poland </t>
  </si>
  <si>
    <t xml:space="preserve">Polonia</t>
  </si>
  <si>
    <t xml:space="preserve">Pologne</t>
  </si>
  <si>
    <t xml:space="preserve">.pr</t>
  </si>
  <si>
    <t xml:space="preserve">PR</t>
  </si>
  <si>
    <t xml:space="preserve">Porto Rico </t>
  </si>
  <si>
    <t xml:space="preserve">Puerto Rico </t>
  </si>
  <si>
    <t xml:space="preserve">.kp</t>
  </si>
  <si>
    <t xml:space="preserve">KP</t>
  </si>
  <si>
    <t xml:space="preserve">Korea, Demokratische Volksrepublik (Nordkorea)</t>
  </si>
  <si>
    <t xml:space="preserve">Corea del Nord </t>
  </si>
  <si>
    <t xml:space="preserve">Korea, Democratic People's Republic of </t>
  </si>
  <si>
    <t xml:space="preserve">Corea del Norte</t>
  </si>
  <si>
    <t xml:space="preserve">Corée du Nord</t>
  </si>
  <si>
    <t xml:space="preserve">.pt</t>
  </si>
  <si>
    <t xml:space="preserve">PT</t>
  </si>
  <si>
    <t xml:space="preserve">Portogallo </t>
  </si>
  <si>
    <t xml:space="preserve">Portugal </t>
  </si>
  <si>
    <t xml:space="preserve">.py</t>
  </si>
  <si>
    <t xml:space="preserve">PY</t>
  </si>
  <si>
    <t xml:space="preserve">Paraguay </t>
  </si>
  <si>
    <t xml:space="preserve">.ps</t>
  </si>
  <si>
    <t xml:space="preserve">PS</t>
  </si>
  <si>
    <t xml:space="preserve">Palästinensische Autonomiegebiete</t>
  </si>
  <si>
    <t xml:space="preserve">Palestina </t>
  </si>
  <si>
    <t xml:space="preserve">Palestinian Territory, Occupied </t>
  </si>
  <si>
    <t xml:space="preserve">Autoridad Nacional Palestina</t>
  </si>
  <si>
    <t xml:space="preserve">Territoire Palestinien</t>
  </si>
  <si>
    <t xml:space="preserve">.pf</t>
  </si>
  <si>
    <t xml:space="preserve">PF</t>
  </si>
  <si>
    <t xml:space="preserve">Französisch-Polynesien</t>
  </si>
  <si>
    <t xml:space="preserve">Polinesia francese </t>
  </si>
  <si>
    <t xml:space="preserve">French Polynesia </t>
  </si>
  <si>
    <t xml:space="preserve">Polinesia Francesa</t>
  </si>
  <si>
    <t xml:space="preserve">Polynésie française</t>
  </si>
  <si>
    <t xml:space="preserve">.qa</t>
  </si>
  <si>
    <t xml:space="preserve">QA</t>
  </si>
  <si>
    <t xml:space="preserve">Katar</t>
  </si>
  <si>
    <t xml:space="preserve">Qatar </t>
  </si>
  <si>
    <t xml:space="preserve">Catar</t>
  </si>
  <si>
    <t xml:space="preserve">.ro</t>
  </si>
  <si>
    <t xml:space="preserve">RO</t>
  </si>
  <si>
    <t xml:space="preserve">Rumänien</t>
  </si>
  <si>
    <t xml:space="preserve">Romania </t>
  </si>
  <si>
    <t xml:space="preserve">Rumania</t>
  </si>
  <si>
    <t xml:space="preserve">Roumanie</t>
  </si>
  <si>
    <t xml:space="preserve">.ru</t>
  </si>
  <si>
    <t xml:space="preserve">RU</t>
  </si>
  <si>
    <t xml:space="preserve">Russische Föderation</t>
  </si>
  <si>
    <t xml:space="preserve">Russia </t>
  </si>
  <si>
    <t xml:space="preserve">Russian Federation </t>
  </si>
  <si>
    <t xml:space="preserve">Rusia</t>
  </si>
  <si>
    <t xml:space="preserve">Russie</t>
  </si>
  <si>
    <t xml:space="preserve">.rw</t>
  </si>
  <si>
    <t xml:space="preserve">RW</t>
  </si>
  <si>
    <t xml:space="preserve">Ruanda</t>
  </si>
  <si>
    <t xml:space="preserve">Ruanda </t>
  </si>
  <si>
    <t xml:space="preserve">Rwanda </t>
  </si>
  <si>
    <t xml:space="preserve">.sa</t>
  </si>
  <si>
    <t xml:space="preserve">SA</t>
  </si>
  <si>
    <t xml:space="preserve">Saudi-Arabien</t>
  </si>
  <si>
    <t xml:space="preserve">Arabia Saudita </t>
  </si>
  <si>
    <t xml:space="preserve">Saudi Arabia </t>
  </si>
  <si>
    <t xml:space="preserve">Arabia Saudita Arabia Saudita</t>
  </si>
  <si>
    <t xml:space="preserve">Arabie Saoudite</t>
  </si>
  <si>
    <t xml:space="preserve">.sd</t>
  </si>
  <si>
    <t xml:space="preserve">SD</t>
  </si>
  <si>
    <t xml:space="preserve">Sudan </t>
  </si>
  <si>
    <t xml:space="preserve">Sudán</t>
  </si>
  <si>
    <t xml:space="preserve">Soudan</t>
  </si>
  <si>
    <t xml:space="preserve">.sn</t>
  </si>
  <si>
    <t xml:space="preserve">SN</t>
  </si>
  <si>
    <t xml:space="preserve">Senegal </t>
  </si>
  <si>
    <t xml:space="preserve">Sénégal</t>
  </si>
  <si>
    <t xml:space="preserve">.sg</t>
  </si>
  <si>
    <t xml:space="preserve">SG</t>
  </si>
  <si>
    <t xml:space="preserve">Singapur</t>
  </si>
  <si>
    <t xml:space="preserve">Singapore </t>
  </si>
  <si>
    <t xml:space="preserve">Singapour</t>
  </si>
  <si>
    <t xml:space="preserve">.sb</t>
  </si>
  <si>
    <t xml:space="preserve">SB</t>
  </si>
  <si>
    <t xml:space="preserve">Salomonen</t>
  </si>
  <si>
    <t xml:space="preserve">Isole Salomone </t>
  </si>
  <si>
    <t xml:space="preserve">Solomon Islands </t>
  </si>
  <si>
    <t xml:space="preserve">Islas Salomón</t>
  </si>
  <si>
    <t xml:space="preserve">Îles Salomon</t>
  </si>
  <si>
    <t xml:space="preserve">.sl</t>
  </si>
  <si>
    <t xml:space="preserve">SL</t>
  </si>
  <si>
    <t xml:space="preserve">Sierra Leone </t>
  </si>
  <si>
    <t xml:space="preserve">Sierra Leona</t>
  </si>
  <si>
    <t xml:space="preserve">.sv</t>
  </si>
  <si>
    <t xml:space="preserve">SV</t>
  </si>
  <si>
    <t xml:space="preserve">El Salvador </t>
  </si>
  <si>
    <t xml:space="preserve">Le Salvador</t>
  </si>
  <si>
    <t xml:space="preserve">.sm</t>
  </si>
  <si>
    <t xml:space="preserve">SM</t>
  </si>
  <si>
    <t xml:space="preserve">San Marino </t>
  </si>
  <si>
    <t xml:space="preserve">San Marin</t>
  </si>
  <si>
    <t xml:space="preserve">.so</t>
  </si>
  <si>
    <t xml:space="preserve">SO</t>
  </si>
  <si>
    <t xml:space="preserve">Somalia </t>
  </si>
  <si>
    <t xml:space="preserve">Somalie</t>
  </si>
  <si>
    <t xml:space="preserve">.rs</t>
  </si>
  <si>
    <t xml:space="preserve">RS</t>
  </si>
  <si>
    <t xml:space="preserve">Serbien</t>
  </si>
  <si>
    <t xml:space="preserve">Serbia </t>
  </si>
  <si>
    <t xml:space="preserve">Serbie</t>
  </si>
  <si>
    <t xml:space="preserve">SS</t>
  </si>
  <si>
    <t xml:space="preserve">Südsudan</t>
  </si>
  <si>
    <t xml:space="preserve">Sudan del Sud </t>
  </si>
  <si>
    <t xml:space="preserve">South Sudan </t>
  </si>
  <si>
    <t xml:space="preserve">Sudán del Sur</t>
  </si>
  <si>
    <t xml:space="preserve">Soudan du Sud</t>
  </si>
  <si>
    <t xml:space="preserve">.st</t>
  </si>
  <si>
    <t xml:space="preserve">ST</t>
  </si>
  <si>
    <t xml:space="preserve">São Tomé und Príncipe</t>
  </si>
  <si>
    <t xml:space="preserve">São Tomé e Príncipe </t>
  </si>
  <si>
    <t xml:space="preserve">Sao Tome and Principe </t>
  </si>
  <si>
    <t xml:space="preserve">Santo Tomé y Príncipe</t>
  </si>
  <si>
    <t xml:space="preserve">Sao Tomé-et-Principe</t>
  </si>
  <si>
    <t xml:space="preserve">.sr</t>
  </si>
  <si>
    <t xml:space="preserve">SR</t>
  </si>
  <si>
    <t xml:space="preserve">Suriname </t>
  </si>
  <si>
    <t xml:space="preserve">Surinam</t>
  </si>
  <si>
    <t xml:space="preserve">.sk</t>
  </si>
  <si>
    <t xml:space="preserve">SK</t>
  </si>
  <si>
    <t xml:space="preserve">Slowakei</t>
  </si>
  <si>
    <t xml:space="preserve">Slovacchia </t>
  </si>
  <si>
    <t xml:space="preserve">Slovakia </t>
  </si>
  <si>
    <t xml:space="preserve">Eslovaquia</t>
  </si>
  <si>
    <t xml:space="preserve">Slovaquie</t>
  </si>
  <si>
    <t xml:space="preserve">.si</t>
  </si>
  <si>
    <t xml:space="preserve">SI</t>
  </si>
  <si>
    <t xml:space="preserve">Slowenien</t>
  </si>
  <si>
    <t xml:space="preserve">Slovenia </t>
  </si>
  <si>
    <t xml:space="preserve">Eslovenia</t>
  </si>
  <si>
    <t xml:space="preserve">Slovénie</t>
  </si>
  <si>
    <t xml:space="preserve">.se</t>
  </si>
  <si>
    <t xml:space="preserve">SE</t>
  </si>
  <si>
    <t xml:space="preserve">Schweden</t>
  </si>
  <si>
    <t xml:space="preserve">Svezia </t>
  </si>
  <si>
    <t xml:space="preserve">Sweden </t>
  </si>
  <si>
    <t xml:space="preserve">Suecia</t>
  </si>
  <si>
    <t xml:space="preserve">Suède</t>
  </si>
  <si>
    <t xml:space="preserve">.sz</t>
  </si>
  <si>
    <t xml:space="preserve">SZ</t>
  </si>
  <si>
    <t xml:space="preserve">Swasiland</t>
  </si>
  <si>
    <t xml:space="preserve">Swaziland </t>
  </si>
  <si>
    <t xml:space="preserve">Suazilandia</t>
  </si>
  <si>
    <t xml:space="preserve">.sx</t>
  </si>
  <si>
    <t xml:space="preserve">SX</t>
  </si>
  <si>
    <t xml:space="preserve">Sint Maarten (niederl. Teil)</t>
  </si>
  <si>
    <t xml:space="preserve">Sint Maarten </t>
  </si>
  <si>
    <t xml:space="preserve">Sint Maarten (Dutch part) </t>
  </si>
  <si>
    <t xml:space="preserve">Sint Maarten</t>
  </si>
  <si>
    <t xml:space="preserve">.sc</t>
  </si>
  <si>
    <t xml:space="preserve">SC</t>
  </si>
  <si>
    <t xml:space="preserve">Seychellen</t>
  </si>
  <si>
    <t xml:space="preserve">Seychelles </t>
  </si>
  <si>
    <t xml:space="preserve">.sy</t>
  </si>
  <si>
    <t xml:space="preserve">SY</t>
  </si>
  <si>
    <t xml:space="preserve">Syrien, Arabische Republik</t>
  </si>
  <si>
    <t xml:space="preserve">Siria </t>
  </si>
  <si>
    <t xml:space="preserve">Syrian Arab Republic </t>
  </si>
  <si>
    <t xml:space="preserve">Siria</t>
  </si>
  <si>
    <t xml:space="preserve">Syrie</t>
  </si>
  <si>
    <t xml:space="preserve">.tc</t>
  </si>
  <si>
    <t xml:space="preserve">TC</t>
  </si>
  <si>
    <t xml:space="preserve">Turks- und Caicosinseln</t>
  </si>
  <si>
    <t xml:space="preserve">Turks e Caicos </t>
  </si>
  <si>
    <t xml:space="preserve">Turks and Caicos Islands </t>
  </si>
  <si>
    <t xml:space="preserve">Islas Turcas y Caicos</t>
  </si>
  <si>
    <t xml:space="preserve">Îles Turques et Caïques</t>
  </si>
  <si>
    <t xml:space="preserve">.td</t>
  </si>
  <si>
    <t xml:space="preserve">TD</t>
  </si>
  <si>
    <t xml:space="preserve">Tschad</t>
  </si>
  <si>
    <t xml:space="preserve">Ciad </t>
  </si>
  <si>
    <t xml:space="preserve">Chad </t>
  </si>
  <si>
    <t xml:space="preserve">Tchad</t>
  </si>
  <si>
    <t xml:space="preserve">.tg</t>
  </si>
  <si>
    <t xml:space="preserve">TG</t>
  </si>
  <si>
    <t xml:space="preserve">Togo </t>
  </si>
  <si>
    <t xml:space="preserve">.th</t>
  </si>
  <si>
    <t xml:space="preserve">TH</t>
  </si>
  <si>
    <t xml:space="preserve">Thailandia </t>
  </si>
  <si>
    <t xml:space="preserve">Thailand </t>
  </si>
  <si>
    <t xml:space="preserve">Tailandia</t>
  </si>
  <si>
    <t xml:space="preserve">Thaïlande</t>
  </si>
  <si>
    <t xml:space="preserve">.tj</t>
  </si>
  <si>
    <t xml:space="preserve">TJ</t>
  </si>
  <si>
    <t xml:space="preserve">Tadschikistan</t>
  </si>
  <si>
    <t xml:space="preserve">Tagikistan </t>
  </si>
  <si>
    <t xml:space="preserve">Tajikistan </t>
  </si>
  <si>
    <t xml:space="preserve">Tayikistán</t>
  </si>
  <si>
    <t xml:space="preserve">.tm</t>
  </si>
  <si>
    <t xml:space="preserve">TM</t>
  </si>
  <si>
    <t xml:space="preserve">Turkmenistan </t>
  </si>
  <si>
    <t xml:space="preserve">Turkmenistán</t>
  </si>
  <si>
    <t xml:space="preserve">Turkménistan</t>
  </si>
  <si>
    <t xml:space="preserve">.tl</t>
  </si>
  <si>
    <t xml:space="preserve">TL</t>
  </si>
  <si>
    <t xml:space="preserve">Osttimor (Timor-Leste)</t>
  </si>
  <si>
    <t xml:space="preserve">Timor Est </t>
  </si>
  <si>
    <t xml:space="preserve">Timor-Leste </t>
  </si>
  <si>
    <t xml:space="preserve">Timor Oriental</t>
  </si>
  <si>
    <t xml:space="preserve">Timor oriental</t>
  </si>
  <si>
    <t xml:space="preserve">.to</t>
  </si>
  <si>
    <t xml:space="preserve">TO</t>
  </si>
  <si>
    <t xml:space="preserve">Tonga </t>
  </si>
  <si>
    <t xml:space="preserve">.tt</t>
  </si>
  <si>
    <t xml:space="preserve">TT</t>
  </si>
  <si>
    <t xml:space="preserve">Trinidad und Tobago</t>
  </si>
  <si>
    <t xml:space="preserve">Trinidad e Tobago </t>
  </si>
  <si>
    <t xml:space="preserve">Trinidad and Tobago </t>
  </si>
  <si>
    <t xml:space="preserve">Trinidad y Tobago</t>
  </si>
  <si>
    <t xml:space="preserve">Trinité et Tobago</t>
  </si>
  <si>
    <t xml:space="preserve">.tn</t>
  </si>
  <si>
    <t xml:space="preserve">TN</t>
  </si>
  <si>
    <t xml:space="preserve">Tunesien</t>
  </si>
  <si>
    <t xml:space="preserve">Tunisia </t>
  </si>
  <si>
    <t xml:space="preserve">Túnez</t>
  </si>
  <si>
    <t xml:space="preserve">Tunisie</t>
  </si>
  <si>
    <t xml:space="preserve">.tr</t>
  </si>
  <si>
    <t xml:space="preserve">TR</t>
  </si>
  <si>
    <t xml:space="preserve">Türkei</t>
  </si>
  <si>
    <t xml:space="preserve">Turchia </t>
  </si>
  <si>
    <t xml:space="preserve">Turkey </t>
  </si>
  <si>
    <t xml:space="preserve">Turquía</t>
  </si>
  <si>
    <t xml:space="preserve">Turquie</t>
  </si>
  <si>
    <t xml:space="preserve">.tv</t>
  </si>
  <si>
    <t xml:space="preserve">TV</t>
  </si>
  <si>
    <t xml:space="preserve">Tuvalu </t>
  </si>
  <si>
    <t xml:space="preserve">.tz</t>
  </si>
  <si>
    <t xml:space="preserve">TZ</t>
  </si>
  <si>
    <t xml:space="preserve">Tansania, Vereinigte Republik</t>
  </si>
  <si>
    <t xml:space="preserve">Tanzania </t>
  </si>
  <si>
    <t xml:space="preserve">Tanzania, United Republic of </t>
  </si>
  <si>
    <t xml:space="preserve">Tanzanie</t>
  </si>
  <si>
    <t xml:space="preserve">.ug</t>
  </si>
  <si>
    <t xml:space="preserve">UG</t>
  </si>
  <si>
    <t xml:space="preserve">Uganda </t>
  </si>
  <si>
    <t xml:space="preserve">Ouganda</t>
  </si>
  <si>
    <t xml:space="preserve">.ua</t>
  </si>
  <si>
    <t xml:space="preserve">UA</t>
  </si>
  <si>
    <t xml:space="preserve">Ucraina </t>
  </si>
  <si>
    <t xml:space="preserve">Ukraine </t>
  </si>
  <si>
    <t xml:space="preserve">Ucrania</t>
  </si>
  <si>
    <t xml:space="preserve">.uy</t>
  </si>
  <si>
    <t xml:space="preserve">UY</t>
  </si>
  <si>
    <t xml:space="preserve">Uruguay </t>
  </si>
  <si>
    <t xml:space="preserve">.us</t>
  </si>
  <si>
    <t xml:space="preserve">US</t>
  </si>
  <si>
    <t xml:space="preserve">Vereinigte Staaten von Amerika</t>
  </si>
  <si>
    <t xml:space="preserve">Stati Uniti d'America </t>
  </si>
  <si>
    <t xml:space="preserve">United States </t>
  </si>
  <si>
    <t xml:space="preserve">Estados Unidos</t>
  </si>
  <si>
    <t xml:space="preserve">États-Unis (USA)</t>
  </si>
  <si>
    <t xml:space="preserve">.uz</t>
  </si>
  <si>
    <t xml:space="preserve">UZ</t>
  </si>
  <si>
    <t xml:space="preserve">Usbekistan</t>
  </si>
  <si>
    <t xml:space="preserve">Uzbekistan </t>
  </si>
  <si>
    <t xml:space="preserve">Uzbekistán</t>
  </si>
  <si>
    <t xml:space="preserve">Ouzbékistan</t>
  </si>
  <si>
    <t xml:space="preserve">.vc</t>
  </si>
  <si>
    <t xml:space="preserve">VC</t>
  </si>
  <si>
    <t xml:space="preserve">St. Vincent und die Grenadinen</t>
  </si>
  <si>
    <t xml:space="preserve">Saint Vincent e Grenadine </t>
  </si>
  <si>
    <t xml:space="preserve">Saint Vincent and the Grenadines </t>
  </si>
  <si>
    <t xml:space="preserve">San Vicente y las Granadinas</t>
  </si>
  <si>
    <t xml:space="preserve">Saint-Vincent-et-les-Grenadines</t>
  </si>
  <si>
    <t xml:space="preserve">.ve</t>
  </si>
  <si>
    <t xml:space="preserve">VE</t>
  </si>
  <si>
    <t xml:space="preserve">Venezuela</t>
  </si>
  <si>
    <t xml:space="preserve">Venezuela </t>
  </si>
  <si>
    <t xml:space="preserve">Venezuela, Bolivarian Republic of </t>
  </si>
  <si>
    <t xml:space="preserve">Vénézuela</t>
  </si>
  <si>
    <t xml:space="preserve">.vg</t>
  </si>
  <si>
    <t xml:space="preserve">VG</t>
  </si>
  <si>
    <t xml:space="preserve">Britische Jungferninseln</t>
  </si>
  <si>
    <t xml:space="preserve">Isole Vergini britanniche </t>
  </si>
  <si>
    <t xml:space="preserve">Virgin Islands, British </t>
  </si>
  <si>
    <t xml:space="preserve">Islas Vírgenes Británicas</t>
  </si>
  <si>
    <t xml:space="preserve">Îles Vierges britanniques</t>
  </si>
  <si>
    <t xml:space="preserve">.vi</t>
  </si>
  <si>
    <t xml:space="preserve">VI</t>
  </si>
  <si>
    <t xml:space="preserve">Amerikanische Jungferninseln</t>
  </si>
  <si>
    <t xml:space="preserve">Isole Vergini americane </t>
  </si>
  <si>
    <t xml:space="preserve">Virgin Islands, U.S. </t>
  </si>
  <si>
    <t xml:space="preserve">Islas Vírgenes de los Estados Unidos</t>
  </si>
  <si>
    <t xml:space="preserve">Îles Vierges des États-Unis</t>
  </si>
  <si>
    <t xml:space="preserve">.vn</t>
  </si>
  <si>
    <t xml:space="preserve">VN</t>
  </si>
  <si>
    <t xml:space="preserve">Vietnam </t>
  </si>
  <si>
    <t xml:space="preserve">Viet Nam </t>
  </si>
  <si>
    <t xml:space="preserve">.vu</t>
  </si>
  <si>
    <t xml:space="preserve">VU</t>
  </si>
  <si>
    <t xml:space="preserve">Vanuatu </t>
  </si>
  <si>
    <t xml:space="preserve">.ws</t>
  </si>
  <si>
    <t xml:space="preserve">WS</t>
  </si>
  <si>
    <t xml:space="preserve">Samoa </t>
  </si>
  <si>
    <t xml:space="preserve">XK</t>
  </si>
  <si>
    <t xml:space="preserve">.ye</t>
  </si>
  <si>
    <t xml:space="preserve">YE</t>
  </si>
  <si>
    <t xml:space="preserve">Jemen</t>
  </si>
  <si>
    <t xml:space="preserve">Yemen </t>
  </si>
  <si>
    <t xml:space="preserve">Yemen</t>
  </si>
  <si>
    <t xml:space="preserve">.za</t>
  </si>
  <si>
    <t xml:space="preserve">ZA</t>
  </si>
  <si>
    <t xml:space="preserve">Südafrika</t>
  </si>
  <si>
    <t xml:space="preserve">Sudafrica </t>
  </si>
  <si>
    <t xml:space="preserve">South Africa </t>
  </si>
  <si>
    <t xml:space="preserve">Sudáfrica</t>
  </si>
  <si>
    <t xml:space="preserve">Afrique du Sud</t>
  </si>
  <si>
    <t xml:space="preserve">.zm</t>
  </si>
  <si>
    <t xml:space="preserve">ZM</t>
  </si>
  <si>
    <t xml:space="preserve">Sambia</t>
  </si>
  <si>
    <t xml:space="preserve">Zambia </t>
  </si>
  <si>
    <t xml:space="preserve">Zambie</t>
  </si>
  <si>
    <t xml:space="preserve">.zw</t>
  </si>
  <si>
    <t xml:space="preserve">ZW</t>
  </si>
  <si>
    <t xml:space="preserve">Simbabwe</t>
  </si>
  <si>
    <t xml:space="preserve">Zimbabwe </t>
  </si>
  <si>
    <t xml:space="preserve">Zimbabue</t>
  </si>
  <si>
    <t xml:space="preserve">Durchschnitt Afrika</t>
  </si>
  <si>
    <t xml:space="preserve">media Africa</t>
  </si>
  <si>
    <t xml:space="preserve">Media África</t>
  </si>
  <si>
    <t xml:space="preserve">Durchschnitt Amerika</t>
  </si>
  <si>
    <t xml:space="preserve">media America</t>
  </si>
  <si>
    <t xml:space="preserve">Media Américas</t>
  </si>
  <si>
    <t xml:space="preserve">Afrique en général</t>
  </si>
  <si>
    <t xml:space="preserve">Durchschnitt Asien</t>
  </si>
  <si>
    <t xml:space="preserve">media Asia</t>
  </si>
  <si>
    <t xml:space="preserve">Media Asia</t>
  </si>
  <si>
    <t xml:space="preserve">Asie en général</t>
  </si>
  <si>
    <t xml:space="preserve">Durchschnitt Europa</t>
  </si>
  <si>
    <t xml:space="preserve">media Europa</t>
  </si>
  <si>
    <t xml:space="preserve">Media Europa</t>
  </si>
  <si>
    <t xml:space="preserve">Europe en général</t>
  </si>
  <si>
    <t xml:space="preserve">Durchschnitt Ozeanien</t>
  </si>
  <si>
    <t xml:space="preserve">media Ozeania</t>
  </si>
  <si>
    <t xml:space="preserve">Media Oceanía</t>
  </si>
  <si>
    <t xml:space="preserve">Océanie en général</t>
  </si>
  <si>
    <t xml:space="preserve">Durchschnitt Welt</t>
  </si>
  <si>
    <t xml:space="preserve">media mondo</t>
  </si>
  <si>
    <t xml:space="preserve">Media Mundo</t>
  </si>
  <si>
    <t xml:space="preserve">Le Monde en général</t>
  </si>
  <si>
    <t xml:space="preserve">provenienza prevalente del resto dei fornitori</t>
  </si>
  <si>
    <t xml:space="preserve">Origen predominante del resto de proveedores</t>
  </si>
  <si>
    <t xml:space="preserve">Origine prédominante des fournisseurs restants</t>
  </si>
</sst>
</file>

<file path=xl/styles.xml><?xml version="1.0" encoding="utf-8"?>
<styleSheet xmlns="http://schemas.openxmlformats.org/spreadsheetml/2006/main">
  <numFmts count="16">
    <numFmt numFmtId="164" formatCode="General"/>
    <numFmt numFmtId="165" formatCode="General"/>
    <numFmt numFmtId="166" formatCode="#,##0"/>
    <numFmt numFmtId="167" formatCode="0\ %"/>
    <numFmt numFmtId="168" formatCode="0"/>
    <numFmt numFmtId="169" formatCode="0.0"/>
    <numFmt numFmtId="170" formatCode="* #,##0.00\ ;\-* #,##0.00\ ;* \-#\ ;@\ "/>
    <numFmt numFmtId="171" formatCode="* #,##0\ ;\-* #,##0\ ;* \-#\ ;@\ "/>
    <numFmt numFmtId="172" formatCode="0.000"/>
    <numFmt numFmtId="173" formatCode="#,##0.0_ ;\-#,##0.0\ "/>
    <numFmt numFmtId="174" formatCode="* #,##0.0\ ;\-* #,##0.0\ ;* \-#\ ;@\ "/>
    <numFmt numFmtId="175" formatCode="0.00"/>
    <numFmt numFmtId="176" formatCode="#,##0.00"/>
    <numFmt numFmtId="177" formatCode="m/d/yyyy"/>
    <numFmt numFmtId="178" formatCode="#,##0.0"/>
    <numFmt numFmtId="179" formatCode="@"/>
  </numFmts>
  <fonts count="89">
    <font>
      <sz val="11"/>
      <color rgb="FF000000"/>
      <name val="Calibri"/>
      <family val="2"/>
      <charset val="1"/>
    </font>
    <font>
      <sz val="10"/>
      <name val="Arial"/>
      <family val="0"/>
    </font>
    <font>
      <sz val="10"/>
      <name val="Arial"/>
      <family val="0"/>
    </font>
    <font>
      <sz val="10"/>
      <name val="Arial"/>
      <family val="0"/>
    </font>
    <font>
      <sz val="10"/>
      <color rgb="FFFFFFFF"/>
      <name val="Calibri"/>
      <family val="2"/>
      <charset val="1"/>
    </font>
    <font>
      <b val="true"/>
      <sz val="10"/>
      <color rgb="FF000000"/>
      <name val="Calibri"/>
      <family val="2"/>
      <charset val="1"/>
    </font>
    <font>
      <sz val="10"/>
      <color rgb="FFCC0000"/>
      <name val="Calibri"/>
      <family val="2"/>
      <charset val="1"/>
    </font>
    <font>
      <b val="true"/>
      <sz val="10"/>
      <color rgb="FFFFFFFF"/>
      <name val="Calibri"/>
      <family val="2"/>
      <charset val="1"/>
    </font>
    <font>
      <i val="true"/>
      <sz val="10"/>
      <color rgb="FF808080"/>
      <name val="Calibri"/>
      <family val="2"/>
      <charset val="1"/>
    </font>
    <font>
      <sz val="10"/>
      <color rgb="FF006600"/>
      <name val="Calibri"/>
      <family val="2"/>
      <charset val="1"/>
    </font>
    <font>
      <sz val="18"/>
      <color rgb="FF000000"/>
      <name val="Calibri"/>
      <family val="2"/>
      <charset val="1"/>
    </font>
    <font>
      <sz val="12"/>
      <color rgb="FF000000"/>
      <name val="Calibri"/>
      <family val="2"/>
      <charset val="1"/>
    </font>
    <font>
      <b val="true"/>
      <sz val="24"/>
      <color rgb="FF000000"/>
      <name val="Calibri"/>
      <family val="2"/>
      <charset val="1"/>
    </font>
    <font>
      <sz val="10"/>
      <color rgb="FF333333"/>
      <name val="Calibri"/>
      <family val="2"/>
      <charset val="1"/>
    </font>
    <font>
      <sz val="11"/>
      <color rgb="FF000000"/>
      <name val="Arial"/>
      <family val="2"/>
      <charset val="1"/>
    </font>
    <font>
      <b val="true"/>
      <sz val="12"/>
      <color rgb="FFFFFFFF"/>
      <name val="Arial"/>
      <family val="2"/>
      <charset val="1"/>
    </font>
    <font>
      <b val="true"/>
      <sz val="16"/>
      <color rgb="FF99CC00"/>
      <name val="Arial"/>
      <family val="2"/>
      <charset val="1"/>
    </font>
    <font>
      <b val="true"/>
      <sz val="11"/>
      <color rgb="FF333333"/>
      <name val="Arial"/>
      <family val="2"/>
      <charset val="1"/>
    </font>
    <font>
      <b val="true"/>
      <sz val="11"/>
      <color rgb="FF99CC00"/>
      <name val="Arial"/>
      <family val="2"/>
      <charset val="1"/>
    </font>
    <font>
      <sz val="11"/>
      <color rgb="FF333333"/>
      <name val="Arial"/>
      <family val="2"/>
      <charset val="1"/>
    </font>
    <font>
      <u val="single"/>
      <sz val="11"/>
      <color rgb="FF0000D4"/>
      <name val="Calibri"/>
      <family val="2"/>
      <charset val="1"/>
    </font>
    <font>
      <b val="true"/>
      <u val="single"/>
      <sz val="11"/>
      <name val="Arial"/>
      <family val="2"/>
      <charset val="1"/>
    </font>
    <font>
      <b val="true"/>
      <u val="single"/>
      <sz val="11"/>
      <color rgb="FF000000"/>
      <name val="Arial"/>
      <family val="2"/>
      <charset val="1"/>
    </font>
    <font>
      <sz val="11"/>
      <name val="Arial"/>
      <family val="2"/>
      <charset val="1"/>
    </font>
    <font>
      <sz val="11"/>
      <color rgb="FF99CC00"/>
      <name val="Arial"/>
      <family val="2"/>
      <charset val="1"/>
    </font>
    <font>
      <b val="true"/>
      <sz val="11"/>
      <color rgb="FFFFFFFF"/>
      <name val="Arial"/>
      <family val="2"/>
      <charset val="1"/>
    </font>
    <font>
      <sz val="16"/>
      <color rgb="FF000000"/>
      <name val="Arial"/>
      <family val="2"/>
      <charset val="1"/>
    </font>
    <font>
      <sz val="11"/>
      <color rgb="FFFFFFFF"/>
      <name val="Arial"/>
      <family val="2"/>
      <charset val="1"/>
    </font>
    <font>
      <b val="true"/>
      <sz val="11"/>
      <color rgb="FF000000"/>
      <name val="Arial"/>
      <family val="2"/>
      <charset val="1"/>
    </font>
    <font>
      <b val="true"/>
      <sz val="11"/>
      <color rgb="FFFF0000"/>
      <name val="Arial"/>
      <family val="2"/>
      <charset val="1"/>
    </font>
    <font>
      <b val="true"/>
      <sz val="11"/>
      <color rgb="FFDD0806"/>
      <name val="Arial"/>
      <family val="2"/>
      <charset val="1"/>
    </font>
    <font>
      <sz val="11"/>
      <color rgb="FFFF0000"/>
      <name val="Arial"/>
      <family val="2"/>
      <charset val="1"/>
    </font>
    <font>
      <sz val="8"/>
      <color rgb="FF000000"/>
      <name val="Arial"/>
      <family val="2"/>
      <charset val="1"/>
    </font>
    <font>
      <sz val="6"/>
      <color rgb="FF000000"/>
      <name val="Arial"/>
      <family val="2"/>
      <charset val="1"/>
    </font>
    <font>
      <b val="true"/>
      <sz val="8"/>
      <color rgb="FFFF0000"/>
      <name val="Arial"/>
      <family val="2"/>
      <charset val="1"/>
    </font>
    <font>
      <sz val="11"/>
      <color rgb="FFFF0000"/>
      <name val="Calibri"/>
      <family val="2"/>
      <charset val="1"/>
    </font>
    <font>
      <b val="true"/>
      <sz val="9"/>
      <color rgb="FF333333"/>
      <name val="Arial"/>
      <family val="2"/>
      <charset val="1"/>
    </font>
    <font>
      <sz val="9"/>
      <color rgb="FF99CC00"/>
      <name val="Arial"/>
      <family val="2"/>
      <charset val="1"/>
    </font>
    <font>
      <sz val="9"/>
      <name val="Arial"/>
      <family val="2"/>
      <charset val="1"/>
    </font>
    <font>
      <sz val="11"/>
      <color rgb="FFC0C0C0"/>
      <name val="Arial"/>
      <family val="2"/>
      <charset val="1"/>
    </font>
    <font>
      <b val="true"/>
      <sz val="9"/>
      <color rgb="FF99CC00"/>
      <name val="Arial"/>
      <family val="2"/>
      <charset val="1"/>
    </font>
    <font>
      <b val="true"/>
      <sz val="9"/>
      <color rgb="FFFFFFFF"/>
      <name val="Arial"/>
      <family val="2"/>
      <charset val="1"/>
    </font>
    <font>
      <sz val="9"/>
      <color rgb="FF000000"/>
      <name val="Calibri"/>
      <family val="2"/>
      <charset val="1"/>
    </font>
    <font>
      <sz val="9"/>
      <color rgb="FF000000"/>
      <name val="Cambria"/>
      <family val="1"/>
      <charset val="1"/>
    </font>
    <font>
      <b val="true"/>
      <sz val="12"/>
      <color rgb="FF000000"/>
      <name val="Cambria"/>
      <family val="1"/>
      <charset val="1"/>
    </font>
    <font>
      <sz val="8"/>
      <color rgb="FFFFFFFF"/>
      <name val="Cambria"/>
      <family val="1"/>
      <charset val="1"/>
    </font>
    <font>
      <b val="true"/>
      <sz val="9"/>
      <color rgb="FF000000"/>
      <name val="Cambria"/>
      <family val="1"/>
      <charset val="1"/>
    </font>
    <font>
      <b val="true"/>
      <sz val="50"/>
      <color rgb="FF000000"/>
      <name val="Cambria"/>
      <family val="1"/>
      <charset val="1"/>
    </font>
    <font>
      <b val="true"/>
      <sz val="25"/>
      <color rgb="FF000000"/>
      <name val="Cambria"/>
      <family val="1"/>
      <charset val="1"/>
    </font>
    <font>
      <sz val="15"/>
      <color rgb="FFFFFFFF"/>
      <name val="Cambria"/>
      <family val="1"/>
      <charset val="1"/>
    </font>
    <font>
      <b val="true"/>
      <sz val="8"/>
      <color rgb="FF000000"/>
      <name val="Cambria"/>
      <family val="1"/>
      <charset val="1"/>
    </font>
    <font>
      <sz val="8"/>
      <color rgb="FF000000"/>
      <name val="Cambria"/>
      <family val="1"/>
      <charset val="1"/>
    </font>
    <font>
      <b val="true"/>
      <sz val="8"/>
      <color rgb="FFDD0806"/>
      <name val="Cambria"/>
      <family val="1"/>
      <charset val="1"/>
    </font>
    <font>
      <b val="true"/>
      <sz val="8"/>
      <color rgb="FFFFFFFF"/>
      <name val="Cambria"/>
      <family val="1"/>
      <charset val="1"/>
    </font>
    <font>
      <b val="true"/>
      <sz val="8"/>
      <name val="Cambria"/>
      <family val="1"/>
      <charset val="1"/>
    </font>
    <font>
      <b val="true"/>
      <sz val="20"/>
      <color rgb="FF000000"/>
      <name val="Cambria"/>
      <family val="1"/>
      <charset val="1"/>
    </font>
    <font>
      <b val="true"/>
      <sz val="12"/>
      <color rgb="FFFFFFFF"/>
      <name val="Cambria"/>
      <family val="1"/>
      <charset val="1"/>
    </font>
    <font>
      <b val="true"/>
      <sz val="15"/>
      <color rgb="FFFFFFFF"/>
      <name val="Cambria"/>
      <family val="1"/>
      <charset val="1"/>
    </font>
    <font>
      <b val="true"/>
      <sz val="9"/>
      <color rgb="FFFFFFFF"/>
      <name val="Cambria"/>
      <family val="1"/>
      <charset val="1"/>
    </font>
    <font>
      <sz val="8"/>
      <color rgb="FFFF0000"/>
      <name val="Cambria"/>
      <family val="1"/>
      <charset val="1"/>
    </font>
    <font>
      <sz val="8"/>
      <name val="Cambria"/>
      <family val="1"/>
      <charset val="1"/>
    </font>
    <font>
      <sz val="9"/>
      <color rgb="FFFF0000"/>
      <name val="Cambria"/>
      <family val="1"/>
      <charset val="1"/>
    </font>
    <font>
      <sz val="9"/>
      <color rgb="FFFFFFFF"/>
      <name val="Cambria"/>
      <family val="1"/>
      <charset val="1"/>
    </font>
    <font>
      <b val="true"/>
      <sz val="10"/>
      <color rgb="FF333333"/>
      <name val="Arial"/>
      <family val="2"/>
      <charset val="1"/>
    </font>
    <font>
      <sz val="10"/>
      <color rgb="FF99CC00"/>
      <name val="Arial"/>
      <family val="2"/>
      <charset val="1"/>
    </font>
    <font>
      <b val="true"/>
      <sz val="15"/>
      <color rgb="FF99CC00"/>
      <name val="Arial"/>
      <family val="2"/>
      <charset val="1"/>
    </font>
    <font>
      <sz val="10"/>
      <color rgb="FFFFFFFF"/>
      <name val="Arial"/>
      <family val="2"/>
      <charset val="1"/>
    </font>
    <font>
      <b val="true"/>
      <sz val="10"/>
      <color rgb="FFFFFFFF"/>
      <name val="Arial"/>
      <family val="2"/>
      <charset val="1"/>
    </font>
    <font>
      <sz val="10"/>
      <color rgb="FF333333"/>
      <name val="Arial"/>
      <family val="2"/>
      <charset val="1"/>
    </font>
    <font>
      <b val="true"/>
      <sz val="11"/>
      <color rgb="FF000000"/>
      <name val="Calibri"/>
      <family val="2"/>
      <charset val="1"/>
    </font>
    <font>
      <sz val="11"/>
      <name val="Wingdings 3"/>
      <family val="1"/>
      <charset val="1"/>
    </font>
    <font>
      <sz val="11"/>
      <color rgb="FFFFFFFF"/>
      <name val="Calibri"/>
      <family val="2"/>
      <charset val="1"/>
    </font>
    <font>
      <b val="true"/>
      <sz val="11"/>
      <color rgb="FF99CC00"/>
      <name val="Arial"/>
      <family val="2"/>
    </font>
    <font>
      <sz val="10"/>
      <color rgb="FF000000"/>
      <name val="Calibri"/>
      <family val="2"/>
    </font>
    <font>
      <b val="true"/>
      <sz val="11"/>
      <color rgb="FF4EE257"/>
      <name val="Arial"/>
      <family val="2"/>
      <charset val="1"/>
    </font>
    <font>
      <sz val="9"/>
      <color rgb="FF000000"/>
      <name val="Arial"/>
      <family val="2"/>
      <charset val="1"/>
    </font>
    <font>
      <sz val="8"/>
      <color rgb="FFFFFFFF"/>
      <name val="Arial"/>
      <family val="2"/>
      <charset val="1"/>
    </font>
    <font>
      <b val="true"/>
      <sz val="8"/>
      <color rgb="FFFFFFFF"/>
      <name val="Arial"/>
      <family val="2"/>
      <charset val="1"/>
    </font>
    <font>
      <b val="true"/>
      <sz val="8"/>
      <color rgb="FF000000"/>
      <name val="Arial"/>
      <family val="2"/>
      <charset val="1"/>
    </font>
    <font>
      <b val="true"/>
      <sz val="7"/>
      <color rgb="FF000000"/>
      <name val="Arial"/>
      <family val="2"/>
      <charset val="1"/>
    </font>
    <font>
      <sz val="7"/>
      <color rgb="FF000000"/>
      <name val="Arial"/>
      <family val="2"/>
      <charset val="1"/>
    </font>
    <font>
      <b val="true"/>
      <sz val="12"/>
      <color rgb="FF000000"/>
      <name val="Arial"/>
      <family val="2"/>
      <charset val="1"/>
    </font>
    <font>
      <b val="true"/>
      <sz val="9"/>
      <color rgb="FF000000"/>
      <name val="Calibri"/>
      <family val="2"/>
      <charset val="1"/>
    </font>
    <font>
      <sz val="10"/>
      <name val="Arial"/>
      <family val="2"/>
      <charset val="1"/>
    </font>
    <font>
      <sz val="11"/>
      <color rgb="FF008000"/>
      <name val="Calibri"/>
      <family val="2"/>
      <charset val="1"/>
    </font>
    <font>
      <sz val="11"/>
      <color rgb="FF0000D4"/>
      <name val="Arial"/>
      <family val="2"/>
      <charset val="1"/>
    </font>
    <font>
      <sz val="8"/>
      <color rgb="FF0000D4"/>
      <name val="Arial"/>
      <family val="2"/>
      <charset val="1"/>
    </font>
    <font>
      <sz val="11"/>
      <color rgb="FF000000"/>
      <name val="ArialMT"/>
      <family val="0"/>
      <charset val="1"/>
    </font>
    <font>
      <sz val="10"/>
      <name val="Verdana"/>
      <family val="2"/>
      <charset val="1"/>
    </font>
  </fonts>
  <fills count="21">
    <fill>
      <patternFill patternType="none"/>
    </fill>
    <fill>
      <patternFill patternType="gray125"/>
    </fill>
    <fill>
      <patternFill patternType="solid">
        <fgColor rgb="FF000000"/>
        <bgColor rgb="FF000080"/>
      </patternFill>
    </fill>
    <fill>
      <patternFill patternType="solid">
        <fgColor rgb="FF808080"/>
        <bgColor rgb="FF969696"/>
      </patternFill>
    </fill>
    <fill>
      <patternFill patternType="solid">
        <fgColor rgb="FFDDDDDD"/>
        <bgColor rgb="FFD9D9D9"/>
      </patternFill>
    </fill>
    <fill>
      <patternFill patternType="solid">
        <fgColor rgb="FFFFCCCC"/>
        <bgColor rgb="FFFFCC99"/>
      </patternFill>
    </fill>
    <fill>
      <patternFill patternType="solid">
        <fgColor rgb="FFCC0000"/>
        <bgColor rgb="FFDD0806"/>
      </patternFill>
    </fill>
    <fill>
      <patternFill patternType="solid">
        <fgColor rgb="FFCCFFCC"/>
        <bgColor rgb="FFE6E6E6"/>
      </patternFill>
    </fill>
    <fill>
      <patternFill patternType="solid">
        <fgColor rgb="FFFFFFCC"/>
        <bgColor rgb="FFFFFFFF"/>
      </patternFill>
    </fill>
    <fill>
      <patternFill patternType="solid">
        <fgColor rgb="FFFFFFFF"/>
        <bgColor rgb="FFFFFFCC"/>
      </patternFill>
    </fill>
    <fill>
      <patternFill patternType="solid">
        <fgColor rgb="FF99CC00"/>
        <bgColor rgb="FFA2BD90"/>
      </patternFill>
    </fill>
    <fill>
      <patternFill patternType="solid">
        <fgColor rgb="FFDD0806"/>
        <bgColor rgb="FFCC0000"/>
      </patternFill>
    </fill>
    <fill>
      <patternFill patternType="solid">
        <fgColor rgb="FFFFCC99"/>
        <bgColor rgb="FFFFCCCC"/>
      </patternFill>
    </fill>
    <fill>
      <patternFill patternType="solid">
        <fgColor rgb="FFFFFF00"/>
        <bgColor rgb="FFFCF305"/>
      </patternFill>
    </fill>
    <fill>
      <patternFill patternType="solid">
        <fgColor rgb="FF333300"/>
        <bgColor rgb="FF333333"/>
      </patternFill>
    </fill>
    <fill>
      <patternFill patternType="solid">
        <fgColor rgb="FFA2BD90"/>
        <bgColor rgb="FFC0C0C0"/>
      </patternFill>
    </fill>
    <fill>
      <patternFill patternType="solid">
        <fgColor rgb="FF90713A"/>
        <bgColor rgb="FF808080"/>
      </patternFill>
    </fill>
    <fill>
      <patternFill patternType="solid">
        <fgColor rgb="FFFCF305"/>
        <bgColor rgb="FFFFFF00"/>
      </patternFill>
    </fill>
    <fill>
      <patternFill patternType="solid">
        <fgColor rgb="FFE6E6E6"/>
        <bgColor rgb="FFDDDDDD"/>
      </patternFill>
    </fill>
    <fill>
      <patternFill patternType="solid">
        <fgColor rgb="FFFF6600"/>
        <bgColor rgb="FFFF9900"/>
      </patternFill>
    </fill>
    <fill>
      <patternFill patternType="solid">
        <fgColor rgb="FF33CC66"/>
        <bgColor rgb="FF4EE257"/>
      </patternFill>
    </fill>
  </fills>
  <borders count="111">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color rgb="FF99CC00"/>
      </left>
      <right style="thin">
        <color rgb="FF99CC00"/>
      </right>
      <top style="thin">
        <color rgb="FF99CC00"/>
      </top>
      <bottom style="thin">
        <color rgb="FF99CC00"/>
      </bottom>
      <diagonal/>
    </border>
    <border diagonalUp="false" diagonalDown="false">
      <left/>
      <right/>
      <top style="thin">
        <color rgb="FF99CC00"/>
      </top>
      <bottom style="thin">
        <color rgb="FF99CC00"/>
      </bottom>
      <diagonal/>
    </border>
    <border diagonalUp="false" diagonalDown="false">
      <left/>
      <right/>
      <top style="thin">
        <color rgb="FF969696"/>
      </top>
      <bottom style="thin">
        <color rgb="FF969696"/>
      </bottom>
      <diagonal/>
    </border>
    <border diagonalUp="false" diagonalDown="false">
      <left/>
      <right/>
      <top style="thin">
        <color rgb="FF99CC00"/>
      </top>
      <bottom/>
      <diagonal/>
    </border>
    <border diagonalUp="false" diagonalDown="false">
      <left style="thin"/>
      <right/>
      <top style="thin"/>
      <bottom style="thin"/>
      <diagonal/>
    </border>
    <border diagonalUp="false" diagonalDown="false">
      <left/>
      <right/>
      <top style="thin"/>
      <botto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bottom style="thin"/>
      <diagonal/>
    </border>
    <border diagonalUp="false" diagonalDown="false">
      <left/>
      <right/>
      <top/>
      <bottom style="thin">
        <color rgb="FF969696"/>
      </bottom>
      <diagonal/>
    </border>
    <border diagonalUp="false" diagonalDown="false">
      <left/>
      <right/>
      <top style="thin">
        <color rgb="FF969696"/>
      </top>
      <bottom/>
      <diagonal/>
    </border>
    <border diagonalUp="false" diagonalDown="false">
      <left/>
      <right/>
      <top style="thin">
        <color rgb="FF969696"/>
      </top>
      <bottom style="thin">
        <color rgb="FF99CC00"/>
      </bottom>
      <diagonal/>
    </border>
    <border diagonalUp="false" diagonalDown="false">
      <left/>
      <right/>
      <top/>
      <bottom style="thin">
        <color rgb="FF99CC00"/>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ck">
        <color rgb="FFDD0806"/>
      </left>
      <right/>
      <top style="thick">
        <color rgb="FFDD0806"/>
      </top>
      <bottom style="thick">
        <color rgb="FFDD0806"/>
      </bottom>
      <diagonal/>
    </border>
    <border diagonalUp="false" diagonalDown="false">
      <left style="thick">
        <color rgb="FF90713A"/>
      </left>
      <right style="thick">
        <color rgb="FF90713A"/>
      </right>
      <top style="thick">
        <color rgb="FF90713A"/>
      </top>
      <bottom style="thick">
        <color rgb="FF90713A"/>
      </bottom>
      <diagonal/>
    </border>
    <border diagonalUp="false" diagonalDown="false">
      <left style="thick">
        <color rgb="FFDD0806"/>
      </left>
      <right style="thick">
        <color rgb="FFDD0806"/>
      </right>
      <top style="thick">
        <color rgb="FFDD0806"/>
      </top>
      <bottom style="thick">
        <color rgb="FFDD0806"/>
      </bottom>
      <diagonal/>
    </border>
    <border diagonalUp="false" diagonalDown="false">
      <left/>
      <right/>
      <top style="medium"/>
      <bottom style="medium"/>
      <diagonal/>
    </border>
    <border diagonalUp="false" diagonalDown="false">
      <left/>
      <right style="dotted"/>
      <top style="medium"/>
      <bottom/>
      <diagonal/>
    </border>
    <border diagonalUp="false" diagonalDown="false">
      <left style="dotted"/>
      <right style="dotted"/>
      <top style="medium"/>
      <bottom/>
      <diagonal/>
    </border>
    <border diagonalUp="false" diagonalDown="false">
      <left style="dotted"/>
      <right/>
      <top style="medium"/>
      <bottom/>
      <diagonal/>
    </border>
    <border diagonalUp="false" diagonalDown="false">
      <left/>
      <right/>
      <top style="dashed"/>
      <bottom/>
      <diagonal/>
    </border>
    <border diagonalUp="false" diagonalDown="false">
      <left style="dashed"/>
      <right style="dashed"/>
      <top/>
      <bottom/>
      <diagonal/>
    </border>
    <border diagonalUp="false" diagonalDown="false">
      <left/>
      <right style="dotted"/>
      <top/>
      <bottom/>
      <diagonal/>
    </border>
    <border diagonalUp="false" diagonalDown="false">
      <left style="dotted"/>
      <right style="dotted"/>
      <top/>
      <bottom/>
      <diagonal/>
    </border>
    <border diagonalUp="false" diagonalDown="false">
      <left style="dotted"/>
      <right/>
      <top/>
      <bottom/>
      <diagonal/>
    </border>
    <border diagonalUp="false" diagonalDown="false">
      <left style="thick">
        <color rgb="FFDD0806"/>
      </left>
      <right/>
      <top style="thick">
        <color rgb="FFDD0806"/>
      </top>
      <bottom/>
      <diagonal/>
    </border>
    <border diagonalUp="false" diagonalDown="false">
      <left style="dashed"/>
      <right style="dashed"/>
      <top style="thick">
        <color rgb="FFDD0806"/>
      </top>
      <bottom/>
      <diagonal/>
    </border>
    <border diagonalUp="false" diagonalDown="false">
      <left/>
      <right style="thick">
        <color rgb="FFDD0806"/>
      </right>
      <top style="thick">
        <color rgb="FFDD0806"/>
      </top>
      <bottom/>
      <diagonal/>
    </border>
    <border diagonalUp="false" diagonalDown="false">
      <left style="thick">
        <color rgb="FFDD0806"/>
      </left>
      <right/>
      <top/>
      <bottom/>
      <diagonal/>
    </border>
    <border diagonalUp="false" diagonalDown="false">
      <left/>
      <right style="thick">
        <color rgb="FFDD0806"/>
      </right>
      <top/>
      <bottom/>
      <diagonal/>
    </border>
    <border diagonalUp="false" diagonalDown="false">
      <left style="thick">
        <color rgb="FFDD0806"/>
      </left>
      <right/>
      <top/>
      <bottom style="thick">
        <color rgb="FFDD0806"/>
      </bottom>
      <diagonal/>
    </border>
    <border diagonalUp="false" diagonalDown="false">
      <left style="dashed"/>
      <right style="dashed"/>
      <top/>
      <bottom style="thick">
        <color rgb="FFDD0806"/>
      </bottom>
      <diagonal/>
    </border>
    <border diagonalUp="false" diagonalDown="false">
      <left style="medium"/>
      <right/>
      <top/>
      <bottom style="medium"/>
      <diagonal/>
    </border>
    <border diagonalUp="false" diagonalDown="false">
      <left/>
      <right/>
      <top/>
      <bottom style="medium"/>
      <diagonal/>
    </border>
    <border diagonalUp="false" diagonalDown="false">
      <left/>
      <right style="thick">
        <color rgb="FFDD0806"/>
      </right>
      <top/>
      <bottom style="thick">
        <color rgb="FFDD0806"/>
      </bottom>
      <diagonal/>
    </border>
    <border diagonalUp="false" diagonalDown="false">
      <left/>
      <right style="dotted"/>
      <top/>
      <bottom style="medium"/>
      <diagonal/>
    </border>
    <border diagonalUp="false" diagonalDown="false">
      <left style="dotted"/>
      <right style="dotted"/>
      <top/>
      <bottom style="medium"/>
      <diagonal/>
    </border>
    <border diagonalUp="false" diagonalDown="false">
      <left style="dotted"/>
      <right/>
      <top/>
      <bottom style="medium"/>
      <diagonal/>
    </border>
    <border diagonalUp="false" diagonalDown="false">
      <left/>
      <right style="medium"/>
      <top/>
      <bottom style="medium"/>
      <diagonal/>
    </border>
    <border diagonalUp="false" diagonalDown="false">
      <left/>
      <right/>
      <top style="dashed"/>
      <bottom style="dashed"/>
      <diagonal/>
    </border>
    <border diagonalUp="false" diagonalDown="false">
      <left style="thick">
        <color rgb="FFDD0806"/>
      </left>
      <right style="thick">
        <color rgb="FFDD0806"/>
      </right>
      <top style="thick">
        <color rgb="FFDD0806"/>
      </top>
      <bottom style="dashed"/>
      <diagonal/>
    </border>
    <border diagonalUp="false" diagonalDown="false">
      <left/>
      <right style="thick">
        <color rgb="FFDD0806"/>
      </right>
      <top style="dashed"/>
      <bottom style="dashed"/>
      <diagonal/>
    </border>
    <border diagonalUp="false" diagonalDown="false">
      <left style="thick">
        <color rgb="FFDD0806"/>
      </left>
      <right style="thick">
        <color rgb="FFDD0806"/>
      </right>
      <top/>
      <bottom/>
      <diagonal/>
    </border>
    <border diagonalUp="false" diagonalDown="false">
      <left style="thick">
        <color rgb="FFDD0806"/>
      </left>
      <right style="thick">
        <color rgb="FFDD0806"/>
      </right>
      <top style="dashed"/>
      <bottom style="dashed"/>
      <diagonal/>
    </border>
    <border diagonalUp="false" diagonalDown="false">
      <left/>
      <right/>
      <top style="dashed"/>
      <bottom style="medium"/>
      <diagonal/>
    </border>
    <border diagonalUp="false" diagonalDown="false">
      <left style="thick">
        <color rgb="FFDD0806"/>
      </left>
      <right style="thick">
        <color rgb="FFDD0806"/>
      </right>
      <top/>
      <bottom style="medium"/>
      <diagonal/>
    </border>
    <border diagonalUp="false" diagonalDown="false">
      <left style="thick">
        <color rgb="FFDD0806"/>
      </left>
      <right style="thick">
        <color rgb="FFDD0806"/>
      </right>
      <top style="dashed"/>
      <bottom/>
      <diagonal/>
    </border>
    <border diagonalUp="false" diagonalDown="false">
      <left style="thick">
        <color rgb="FFDD0806"/>
      </left>
      <right/>
      <top/>
      <bottom style="dashed"/>
      <diagonal/>
    </border>
    <border diagonalUp="false" diagonalDown="false">
      <left/>
      <right style="thick">
        <color rgb="FFDD0806"/>
      </right>
      <top/>
      <bottom style="dashed"/>
      <diagonal/>
    </border>
    <border diagonalUp="false" diagonalDown="false">
      <left style="thick">
        <color rgb="FFDD0806"/>
      </left>
      <right/>
      <top style="dashed"/>
      <bottom style="dashed"/>
      <diagonal/>
    </border>
    <border diagonalUp="false" diagonalDown="false">
      <left style="thick">
        <color rgb="FFDD0806"/>
      </left>
      <right/>
      <top style="dashed"/>
      <bottom style="thick">
        <color rgb="FFDD0806"/>
      </bottom>
      <diagonal/>
    </border>
    <border diagonalUp="false" diagonalDown="false">
      <left/>
      <right style="thick">
        <color rgb="FFDD0806"/>
      </right>
      <top style="dashed"/>
      <bottom/>
      <diagonal/>
    </border>
    <border diagonalUp="false" diagonalDown="false">
      <left style="thick">
        <color rgb="FFDD0806"/>
      </left>
      <right style="thick">
        <color rgb="FFDD0806"/>
      </right>
      <top/>
      <bottom style="dashed"/>
      <diagonal/>
    </border>
    <border diagonalUp="false" diagonalDown="false">
      <left/>
      <right/>
      <top style="medium"/>
      <bottom style="dashed"/>
      <diagonal/>
    </border>
    <border diagonalUp="false" diagonalDown="false">
      <left style="thick">
        <color rgb="FFDD0806"/>
      </left>
      <right style="thick">
        <color rgb="FFDD0806"/>
      </right>
      <top/>
      <bottom style="thick">
        <color rgb="FFDD0806"/>
      </bottom>
      <diagonal/>
    </border>
    <border diagonalUp="false" diagonalDown="false">
      <left style="thick">
        <color rgb="FFDD0806"/>
      </left>
      <right style="thick">
        <color rgb="FFDD0806"/>
      </right>
      <top style="thick">
        <color rgb="FFDD0806"/>
      </top>
      <bottom/>
      <diagonal/>
    </border>
    <border diagonalUp="false" diagonalDown="false">
      <left style="thin">
        <color rgb="FF969696"/>
      </left>
      <right/>
      <top style="thin">
        <color rgb="FF969696"/>
      </top>
      <bottom style="thin">
        <color rgb="FF969696"/>
      </bottom>
      <diagonal/>
    </border>
    <border diagonalUp="false" diagonalDown="false">
      <left/>
      <right style="thin">
        <color rgb="FF969696"/>
      </right>
      <top style="thin">
        <color rgb="FF969696"/>
      </top>
      <bottom style="thin">
        <color rgb="FF969696"/>
      </bottom>
      <diagonal/>
    </border>
    <border diagonalUp="false" diagonalDown="false">
      <left style="thin">
        <color rgb="FF969696"/>
      </left>
      <right/>
      <top style="thin">
        <color rgb="FF969696"/>
      </top>
      <bottom/>
      <diagonal/>
    </border>
    <border diagonalUp="false" diagonalDown="false">
      <left style="thin">
        <color rgb="FF969696"/>
      </left>
      <right style="thin">
        <color rgb="FF969696"/>
      </right>
      <top style="thin">
        <color rgb="FF969696"/>
      </top>
      <bottom style="thin">
        <color rgb="FF969696"/>
      </bottom>
      <diagonal/>
    </border>
    <border diagonalUp="false" diagonalDown="false">
      <left style="thin">
        <color rgb="FF969696"/>
      </left>
      <right style="thin">
        <color rgb="FF969696"/>
      </right>
      <top style="thin">
        <color rgb="FF969696"/>
      </top>
      <bottom/>
      <diagonal/>
    </border>
    <border diagonalUp="false" diagonalDown="false">
      <left style="thin">
        <color rgb="FF969696"/>
      </left>
      <right/>
      <top/>
      <bottom style="thin">
        <color rgb="FF969696"/>
      </bottom>
      <diagonal/>
    </border>
    <border diagonalUp="false" diagonalDown="false">
      <left/>
      <right style="thin">
        <color rgb="FF969696"/>
      </right>
      <top/>
      <bottom style="thin">
        <color rgb="FF969696"/>
      </bottom>
      <diagonal/>
    </border>
    <border diagonalUp="false" diagonalDown="false">
      <left style="thin">
        <color rgb="FF969696"/>
      </left>
      <right style="thin">
        <color rgb="FF969696"/>
      </right>
      <top/>
      <bottom style="thin">
        <color rgb="FF969696"/>
      </bottom>
      <diagonal/>
    </border>
    <border diagonalUp="false" diagonalDown="false">
      <left style="thin">
        <color rgb="FF808080"/>
      </left>
      <right/>
      <top style="thin">
        <color rgb="FF808080"/>
      </top>
      <bottom style="thin">
        <color rgb="FF808080"/>
      </bottom>
      <diagonal/>
    </border>
    <border diagonalUp="false" diagonalDown="false">
      <left/>
      <right/>
      <top style="thin">
        <color rgb="FF808080"/>
      </top>
      <bottom style="thin">
        <color rgb="FF808080"/>
      </bottom>
      <diagonal/>
    </border>
    <border diagonalUp="false" diagonalDown="false">
      <left/>
      <right style="thin">
        <color rgb="FF808080"/>
      </right>
      <top style="thin">
        <color rgb="FF808080"/>
      </top>
      <bottom style="thin">
        <color rgb="FF808080"/>
      </bottom>
      <diagonal/>
    </border>
    <border diagonalUp="false" diagonalDown="false">
      <left/>
      <right/>
      <top/>
      <bottom style="thick">
        <color rgb="FF99CC00"/>
      </bottom>
      <diagonal/>
    </border>
    <border diagonalUp="false" diagonalDown="false">
      <left/>
      <right/>
      <top/>
      <bottom style="dashed">
        <color rgb="FF99CC00"/>
      </bottom>
      <diagonal/>
    </border>
    <border diagonalUp="false" diagonalDown="false">
      <left/>
      <right/>
      <top style="dashed">
        <color rgb="FF99CC00"/>
      </top>
      <bottom style="dashed">
        <color rgb="FF99CC00"/>
      </bottom>
      <diagonal/>
    </border>
    <border diagonalUp="false" diagonalDown="false">
      <left/>
      <right/>
      <top style="dashed">
        <color rgb="FF99CC00"/>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medium"/>
      <top style="medium"/>
      <bottom style="dashed"/>
      <diagonal/>
    </border>
    <border diagonalUp="false" diagonalDown="false">
      <left style="medium"/>
      <right/>
      <top style="dashed"/>
      <bottom style="dashed"/>
      <diagonal/>
    </border>
    <border diagonalUp="false" diagonalDown="false">
      <left/>
      <right style="medium"/>
      <top style="dashed"/>
      <bottom style="dashed"/>
      <diagonal/>
    </border>
    <border diagonalUp="false" diagonalDown="false">
      <left style="medium"/>
      <right/>
      <top style="medium"/>
      <bottom style="dotted"/>
      <diagonal/>
    </border>
    <border diagonalUp="false" diagonalDown="false">
      <left/>
      <right/>
      <top style="medium"/>
      <bottom style="dotted"/>
      <diagonal/>
    </border>
    <border diagonalUp="false" diagonalDown="false">
      <left/>
      <right style="medium"/>
      <top style="medium"/>
      <bottom style="dotted"/>
      <diagonal/>
    </border>
    <border diagonalUp="false" diagonalDown="false">
      <left style="medium"/>
      <right/>
      <top style="dotted"/>
      <bottom style="dotted"/>
      <diagonal/>
    </border>
    <border diagonalUp="false" diagonalDown="false">
      <left/>
      <right style="medium"/>
      <top style="dotted"/>
      <bottom style="dotted"/>
      <diagonal/>
    </border>
    <border diagonalUp="false" diagonalDown="false">
      <left/>
      <right/>
      <top style="dotted"/>
      <bottom style="dotted"/>
      <diagonal/>
    </border>
    <border diagonalUp="false" diagonalDown="false">
      <left/>
      <right style="medium"/>
      <top style="dotted"/>
      <bottom/>
      <diagonal/>
    </border>
    <border diagonalUp="false" diagonalDown="false">
      <left style="medium"/>
      <right/>
      <top style="dotted"/>
      <bottom/>
      <diagonal/>
    </border>
    <border diagonalUp="false" diagonalDown="false">
      <left/>
      <right/>
      <top style="dotted"/>
      <bottom/>
      <diagonal/>
    </border>
    <border diagonalUp="false" diagonalDown="false">
      <left/>
      <right style="medium"/>
      <top style="dashed"/>
      <bottom style="dotted"/>
      <diagonal/>
    </border>
    <border diagonalUp="false" diagonalDown="false">
      <left style="medium"/>
      <right/>
      <top/>
      <bottom style="dotted"/>
      <diagonal/>
    </border>
    <border diagonalUp="false" diagonalDown="false">
      <left/>
      <right style="medium"/>
      <top/>
      <bottom style="dotted"/>
      <diagonal/>
    </border>
    <border diagonalUp="false" diagonalDown="false">
      <left/>
      <right/>
      <top/>
      <bottom style="dotted"/>
      <diagonal/>
    </border>
    <border diagonalUp="false" diagonalDown="false">
      <left style="medium"/>
      <right/>
      <top style="dashed"/>
      <bottom style="medium"/>
      <diagonal/>
    </border>
    <border diagonalUp="false" diagonalDown="false">
      <left/>
      <right style="medium"/>
      <top style="dashed"/>
      <bottom style="medium"/>
      <diagonal/>
    </border>
    <border diagonalUp="false" diagonalDown="false">
      <left style="medium"/>
      <right/>
      <top style="dotted"/>
      <bottom style="mediu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top style="medium"/>
      <bottom/>
      <diagonal/>
    </border>
    <border diagonalUp="false" diagonalDown="false">
      <left style="thin"/>
      <right/>
      <top style="thin"/>
      <bottom/>
      <diagonal/>
    </border>
    <border diagonalUp="false" diagonalDown="false">
      <left style="medium"/>
      <right style="medium"/>
      <top style="medium"/>
      <bottom style="medium"/>
      <diagonal/>
    </border>
    <border diagonalUp="false" diagonalDown="false">
      <left style="thin"/>
      <right style="thin"/>
      <top/>
      <bottom style="thin"/>
      <diagonal/>
    </border>
    <border diagonalUp="false" diagonalDown="false">
      <left style="thin"/>
      <right/>
      <top/>
      <bottom style="thin"/>
      <diagonal/>
    </border>
    <border diagonalUp="false" diagonalDown="false">
      <left style="hair"/>
      <right style="hair"/>
      <top style="hair"/>
      <bottom style="hair"/>
      <diagonal/>
    </border>
  </borders>
  <cellStyleXfs count="3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0" fontId="0"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true" applyAlignment="true" applyProtection="true">
      <alignment horizontal="general" vertical="bottom" textRotation="0" wrapText="false" indent="0" shrinkToFit="false"/>
      <protection locked="true" hidden="false"/>
    </xf>
    <xf numFmtId="164" fontId="20"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5" borderId="0" applyFont="true" applyBorder="true" applyAlignment="true" applyProtection="true">
      <alignment horizontal="general" vertical="bottom" textRotation="0" wrapText="false" indent="0" shrinkToFit="false"/>
      <protection locked="true" hidden="false"/>
    </xf>
    <xf numFmtId="164" fontId="7" fillId="6"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9" fillId="7"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xf numFmtId="164" fontId="12"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3" fillId="8" borderId="1"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563">
    <xf numFmtId="164" fontId="0" fillId="0" borderId="0" xfId="0" applyFont="fals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4" fillId="9" borderId="0" xfId="0" applyFont="true" applyBorder="false" applyAlignment="true" applyProtection="false">
      <alignment horizontal="general" vertical="center" textRotation="0" wrapText="false" indent="0" shrinkToFit="false"/>
      <protection locked="true" hidden="false"/>
    </xf>
    <xf numFmtId="164" fontId="15" fillId="10" borderId="2" xfId="0" applyFont="true" applyBorder="true" applyAlignment="true" applyProtection="true">
      <alignment horizontal="left" vertical="center" textRotation="0" wrapText="false" indent="0" shrinkToFit="false"/>
      <protection locked="false" hidden="false"/>
    </xf>
    <xf numFmtId="165" fontId="16" fillId="9" borderId="0" xfId="0" applyFont="true" applyBorder="true" applyAlignment="false" applyProtection="false">
      <alignment horizontal="general" vertical="bottom" textRotation="0" wrapText="false" indent="0" shrinkToFit="false"/>
      <protection locked="true" hidden="false"/>
    </xf>
    <xf numFmtId="165" fontId="17" fillId="9" borderId="0" xfId="0" applyFont="true" applyBorder="false" applyAlignment="true" applyProtection="false">
      <alignment horizontal="left" vertical="center" textRotation="0" wrapText="false" indent="0" shrinkToFit="false"/>
      <protection locked="true" hidden="false"/>
    </xf>
    <xf numFmtId="164" fontId="17" fillId="9" borderId="0" xfId="0" applyFont="true" applyBorder="false" applyAlignment="true" applyProtection="false">
      <alignment horizontal="general" vertical="center" textRotation="0" wrapText="false" indent="0" shrinkToFit="false"/>
      <protection locked="true" hidden="false"/>
    </xf>
    <xf numFmtId="165" fontId="18" fillId="9" borderId="0" xfId="0" applyFont="true" applyBorder="true" applyAlignment="true" applyProtection="false">
      <alignment horizontal="left" vertical="center" textRotation="0" wrapText="false" indent="0" shrinkToFit="false"/>
      <protection locked="true" hidden="false"/>
    </xf>
    <xf numFmtId="165" fontId="19" fillId="9" borderId="0" xfId="0" applyFont="true" applyBorder="true" applyAlignment="true" applyProtection="false">
      <alignment horizontal="left" vertical="top" textRotation="0" wrapText="true" indent="0" shrinkToFit="false"/>
      <protection locked="true" hidden="false"/>
    </xf>
    <xf numFmtId="165" fontId="21" fillId="9" borderId="0" xfId="20" applyFont="true" applyBorder="true" applyAlignment="true" applyProtection="false">
      <alignment horizontal="left" vertical="top" textRotation="0" wrapText="true" indent="0" shrinkToFit="false"/>
      <protection locked="true" hidden="false"/>
    </xf>
    <xf numFmtId="165" fontId="19" fillId="9" borderId="0" xfId="0" applyFont="true" applyBorder="false" applyAlignment="true" applyProtection="false">
      <alignment horizontal="general" vertical="top" textRotation="0" wrapText="true" indent="0" shrinkToFit="false"/>
      <protection locked="true" hidden="false"/>
    </xf>
    <xf numFmtId="165" fontId="22" fillId="0" borderId="0" xfId="0" applyFont="true" applyBorder="true" applyAlignment="false" applyProtection="false">
      <alignment horizontal="general" vertical="bottom" textRotation="0" wrapText="false" indent="0" shrinkToFit="false"/>
      <protection locked="true" hidden="false"/>
    </xf>
    <xf numFmtId="164" fontId="21" fillId="9" borderId="0" xfId="0" applyFont="true" applyBorder="true" applyAlignment="true" applyProtection="false">
      <alignment horizontal="right" vertical="top" textRotation="0" wrapText="true" indent="0" shrinkToFit="false"/>
      <protection locked="true" hidden="false"/>
    </xf>
    <xf numFmtId="165" fontId="19" fillId="9" borderId="0" xfId="0" applyFont="true" applyBorder="false" applyAlignment="true" applyProtection="false">
      <alignment horizontal="general" vertical="center" textRotation="0" wrapText="true" indent="0" shrinkToFit="false"/>
      <protection locked="true" hidden="false"/>
    </xf>
    <xf numFmtId="165" fontId="21" fillId="9" borderId="0" xfId="20" applyFont="true" applyBorder="true" applyAlignment="true" applyProtection="false">
      <alignment horizontal="left" vertical="center" textRotation="0" wrapText="true" indent="0" shrinkToFit="false"/>
      <protection locked="true" hidden="false"/>
    </xf>
    <xf numFmtId="164" fontId="23" fillId="9" borderId="0" xfId="0" applyFont="true" applyBorder="false" applyAlignment="true" applyProtection="false">
      <alignment horizontal="left" vertical="center" textRotation="0" wrapText="true" indent="0" shrinkToFit="false"/>
      <protection locked="true" hidden="false"/>
    </xf>
    <xf numFmtId="164" fontId="19" fillId="9" borderId="0" xfId="0" applyFont="true" applyBorder="false" applyAlignment="true" applyProtection="false">
      <alignment horizontal="left" vertical="center" textRotation="0" wrapText="true" indent="0" shrinkToFit="false"/>
      <protection locked="true" hidden="false"/>
    </xf>
    <xf numFmtId="165" fontId="24" fillId="9" borderId="3" xfId="0" applyFont="true" applyBorder="true" applyAlignment="true" applyProtection="false">
      <alignment horizontal="left" vertical="center" textRotation="0" wrapText="false" indent="0" shrinkToFit="false"/>
      <protection locked="true" hidden="false"/>
    </xf>
    <xf numFmtId="164" fontId="19" fillId="9" borderId="0" xfId="0" applyFont="true" applyBorder="false" applyAlignment="true" applyProtection="false">
      <alignment horizontal="left" vertical="center" textRotation="0" wrapText="false" indent="0" shrinkToFit="false"/>
      <protection locked="true" hidden="false"/>
    </xf>
    <xf numFmtId="165" fontId="19" fillId="9" borderId="4" xfId="0" applyFont="true" applyBorder="true" applyAlignment="true" applyProtection="false">
      <alignment horizontal="left" vertical="center" textRotation="0" wrapText="false" indent="0" shrinkToFit="false"/>
      <protection locked="true" hidden="false"/>
    </xf>
    <xf numFmtId="165" fontId="25" fillId="11" borderId="0" xfId="0" applyFont="true" applyBorder="true" applyAlignment="true" applyProtection="false">
      <alignment horizontal="left" vertical="center" textRotation="0" wrapText="false" indent="0" shrinkToFit="false"/>
      <protection locked="true" hidden="false"/>
    </xf>
    <xf numFmtId="165" fontId="17" fillId="9" borderId="0" xfId="0" applyFont="true" applyBorder="true" applyAlignment="true" applyProtection="false">
      <alignment horizontal="left" vertical="center" textRotation="0" wrapText="false" indent="0" shrinkToFit="false"/>
      <protection locked="true" hidden="false"/>
    </xf>
    <xf numFmtId="165" fontId="17" fillId="0" borderId="0" xfId="0" applyFont="true" applyBorder="true" applyAlignment="true" applyProtection="false">
      <alignment horizontal="left" vertical="center" textRotation="0" wrapText="false" indent="0" shrinkToFit="false"/>
      <protection locked="true" hidden="false"/>
    </xf>
    <xf numFmtId="165" fontId="17" fillId="9" borderId="0" xfId="0" applyFont="true" applyBorder="true" applyAlignment="true" applyProtection="false">
      <alignment horizontal="left" vertical="center" textRotation="0" wrapText="true" indent="0" shrinkToFit="false"/>
      <protection locked="true" hidden="false"/>
    </xf>
    <xf numFmtId="165" fontId="17" fillId="0" borderId="0" xfId="0" applyFont="true" applyBorder="true" applyAlignment="true" applyProtection="false">
      <alignment horizontal="left" vertical="center" textRotation="0" wrapText="true" indent="0" shrinkToFit="false"/>
      <protection locked="true" hidden="false"/>
    </xf>
    <xf numFmtId="165" fontId="19" fillId="9"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9" borderId="0" xfId="0" applyFont="true" applyBorder="false" applyAlignment="true" applyProtection="false">
      <alignment horizontal="center" vertical="center" textRotation="0" wrapText="false" indent="0" shrinkToFit="false"/>
      <protection locked="true" hidden="false"/>
    </xf>
    <xf numFmtId="164" fontId="14" fillId="9" borderId="0" xfId="0" applyFont="true" applyBorder="false" applyAlignment="true" applyProtection="false">
      <alignment horizontal="left" vertical="center" textRotation="0" wrapText="false" indent="0" shrinkToFit="false"/>
      <protection locked="true" hidden="false"/>
    </xf>
    <xf numFmtId="165" fontId="16" fillId="9" borderId="0" xfId="0" applyFont="true" applyBorder="true" applyAlignment="true" applyProtection="false">
      <alignment horizontal="left" vertical="center" textRotation="0" wrapText="false" indent="0" shrinkToFit="false"/>
      <protection locked="true" hidden="false"/>
    </xf>
    <xf numFmtId="164" fontId="26" fillId="9" borderId="0" xfId="0" applyFont="true" applyBorder="false" applyAlignment="true" applyProtection="false">
      <alignment horizontal="left" vertical="center" textRotation="0" wrapText="false" indent="0" shrinkToFit="false"/>
      <protection locked="true" hidden="false"/>
    </xf>
    <xf numFmtId="165" fontId="17" fillId="9" borderId="4" xfId="0" applyFont="true" applyBorder="true" applyAlignment="true" applyProtection="false">
      <alignment horizontal="left" vertical="center" textRotation="0" wrapText="false" indent="1" shrinkToFit="false"/>
      <protection locked="true" hidden="false"/>
    </xf>
    <xf numFmtId="164" fontId="24" fillId="9" borderId="3" xfId="0" applyFont="true" applyBorder="true" applyAlignment="true" applyProtection="true">
      <alignment horizontal="left" vertical="center" textRotation="0" wrapText="false" indent="1" shrinkToFit="false"/>
      <protection locked="false" hidden="false"/>
    </xf>
    <xf numFmtId="165" fontId="19" fillId="9" borderId="4" xfId="0" applyFont="true" applyBorder="true" applyAlignment="true" applyProtection="false">
      <alignment horizontal="left" vertical="center" textRotation="0" wrapText="false" indent="1" shrinkToFit="false"/>
      <protection locked="true" hidden="false"/>
    </xf>
    <xf numFmtId="164" fontId="20" fillId="9" borderId="3" xfId="20" applyFont="true" applyBorder="true" applyAlignment="true" applyProtection="true">
      <alignment horizontal="left" vertical="center" textRotation="0" wrapText="false" indent="1" shrinkToFit="false"/>
      <protection locked="false" hidden="false"/>
    </xf>
    <xf numFmtId="164" fontId="14" fillId="9" borderId="0" xfId="0" applyFont="true" applyBorder="false" applyAlignment="true" applyProtection="false">
      <alignment horizontal="left" vertical="center" textRotation="0" wrapText="false" indent="1" shrinkToFit="false"/>
      <protection locked="true" hidden="false"/>
    </xf>
    <xf numFmtId="164" fontId="27" fillId="9" borderId="0" xfId="0" applyFont="true" applyBorder="false" applyAlignment="true" applyProtection="false">
      <alignment horizontal="left" vertical="center" textRotation="0" wrapText="false" indent="1" shrinkToFit="false"/>
      <protection locked="true" hidden="false"/>
    </xf>
    <xf numFmtId="164" fontId="28" fillId="9" borderId="0" xfId="0" applyFont="true" applyBorder="false" applyAlignment="true" applyProtection="false">
      <alignment horizontal="left" vertical="center" textRotation="0" wrapText="false" indent="1" shrinkToFit="false"/>
      <protection locked="true" hidden="false"/>
    </xf>
    <xf numFmtId="164" fontId="24" fillId="9" borderId="0" xfId="0" applyFont="true" applyBorder="false" applyAlignment="true" applyProtection="false">
      <alignment horizontal="left" vertical="center" textRotation="0" wrapText="false" indent="1" shrinkToFit="false"/>
      <protection locked="true" hidden="false"/>
    </xf>
    <xf numFmtId="165" fontId="17" fillId="9" borderId="4" xfId="0" applyFont="true" applyBorder="true" applyAlignment="true" applyProtection="false">
      <alignment horizontal="left" vertical="center" textRotation="0" wrapText="true" indent="1" shrinkToFit="false"/>
      <protection locked="true" hidden="false"/>
    </xf>
    <xf numFmtId="164" fontId="28" fillId="9" borderId="0" xfId="0" applyFont="true" applyBorder="false" applyAlignment="true" applyProtection="false">
      <alignment horizontal="general" vertical="center" textRotation="0" wrapText="false" indent="0" shrinkToFit="false"/>
      <protection locked="true" hidden="false"/>
    </xf>
    <xf numFmtId="164" fontId="24" fillId="9" borderId="0" xfId="0" applyFont="true" applyBorder="false" applyAlignment="true" applyProtection="false">
      <alignment horizontal="left" vertical="center" textRotation="0" wrapText="false" indent="0" shrinkToFit="false"/>
      <protection locked="true" hidden="false"/>
    </xf>
    <xf numFmtId="165" fontId="19" fillId="9" borderId="4" xfId="0" applyFont="true" applyBorder="true" applyAlignment="true" applyProtection="false">
      <alignment horizontal="left" vertical="center" textRotation="0" wrapText="true" indent="1" shrinkToFit="false"/>
      <protection locked="true" hidden="false"/>
    </xf>
    <xf numFmtId="165" fontId="19" fillId="12" borderId="0" xfId="0" applyFont="true" applyBorder="true" applyAlignment="true" applyProtection="false">
      <alignment horizontal="left" vertical="center" textRotation="0" wrapText="true" indent="0" shrinkToFit="false"/>
      <protection locked="true" hidden="false"/>
    </xf>
    <xf numFmtId="164" fontId="24" fillId="9" borderId="3" xfId="0" applyFont="true" applyBorder="true" applyAlignment="true" applyProtection="false">
      <alignment horizontal="left" vertical="center" textRotation="0" wrapText="false" indent="1" shrinkToFit="false"/>
      <protection locked="true" hidden="false"/>
    </xf>
    <xf numFmtId="166" fontId="24" fillId="9" borderId="3" xfId="0" applyFont="true" applyBorder="true" applyAlignment="true" applyProtection="true">
      <alignment horizontal="left" vertical="center" textRotation="0" wrapText="false" indent="1" shrinkToFit="false"/>
      <protection locked="false" hidden="false"/>
    </xf>
    <xf numFmtId="165" fontId="29" fillId="0"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6" fontId="24" fillId="9" borderId="3" xfId="0" applyFont="true" applyBorder="true" applyAlignment="true" applyProtection="false">
      <alignment horizontal="left" vertical="center" textRotation="0" wrapText="false" indent="1" shrinkToFit="false"/>
      <protection locked="true" hidden="false"/>
    </xf>
    <xf numFmtId="166" fontId="14" fillId="9" borderId="3" xfId="0" applyFont="true" applyBorder="true" applyAlignment="true" applyProtection="true">
      <alignment horizontal="left" vertical="center" textRotation="0" wrapText="false" indent="1" shrinkToFit="false"/>
      <protection locked="false" hidden="false"/>
    </xf>
    <xf numFmtId="165" fontId="14" fillId="9" borderId="5" xfId="0" applyFont="true" applyBorder="true" applyAlignment="true" applyProtection="false">
      <alignment horizontal="left" vertical="center" textRotation="0" wrapText="false" indent="0" shrinkToFit="false"/>
      <protection locked="true" hidden="false"/>
    </xf>
    <xf numFmtId="166" fontId="19" fillId="9" borderId="4" xfId="0" applyFont="true" applyBorder="true" applyAlignment="true" applyProtection="false">
      <alignment horizontal="left" vertical="center" textRotation="0" wrapText="false" indent="1" shrinkToFit="false"/>
      <protection locked="true" hidden="false"/>
    </xf>
    <xf numFmtId="167" fontId="24" fillId="9" borderId="3" xfId="0" applyFont="true" applyBorder="true" applyAlignment="true" applyProtection="true">
      <alignment horizontal="left" vertical="center" textRotation="0" wrapText="false" indent="1" shrinkToFit="false"/>
      <protection locked="fals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6" fontId="24" fillId="9" borderId="0" xfId="0" applyFont="true" applyBorder="false" applyAlignment="true" applyProtection="false">
      <alignment horizontal="left" vertical="center" textRotation="0" wrapText="false" indent="1" shrinkToFit="false"/>
      <protection locked="true" hidden="false"/>
    </xf>
    <xf numFmtId="164" fontId="19" fillId="9" borderId="0" xfId="0" applyFont="true" applyBorder="false" applyAlignment="true" applyProtection="false">
      <alignment horizontal="left" vertical="center" textRotation="0" wrapText="false" indent="1" shrinkToFit="false"/>
      <protection locked="true" hidden="false"/>
    </xf>
    <xf numFmtId="167" fontId="24" fillId="9" borderId="0" xfId="0" applyFont="true" applyBorder="false" applyAlignment="true" applyProtection="true">
      <alignment horizontal="left" vertical="center" textRotation="0" wrapText="false" indent="1" shrinkToFit="false"/>
      <protection locked="false" hidden="false"/>
    </xf>
    <xf numFmtId="167" fontId="30" fillId="9" borderId="0" xfId="0" applyFont="true" applyBorder="false" applyAlignment="true" applyProtection="false">
      <alignment horizontal="left" vertical="center" textRotation="0" wrapText="false" indent="1" shrinkToFit="false"/>
      <protection locked="true" hidden="false"/>
    </xf>
    <xf numFmtId="165" fontId="31"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1" shrinkToFit="false"/>
      <protection locked="true" hidden="false"/>
    </xf>
    <xf numFmtId="167" fontId="14" fillId="0" borderId="0" xfId="0" applyFont="true" applyBorder="false" applyAlignment="true" applyProtection="false">
      <alignment horizontal="center" vertical="center" textRotation="0" wrapText="false" indent="0" shrinkToFit="false"/>
      <protection locked="true" hidden="false"/>
    </xf>
    <xf numFmtId="168" fontId="14" fillId="0" borderId="0" xfId="0" applyFont="true" applyBorder="false" applyAlignment="true" applyProtection="false">
      <alignment horizontal="center" vertical="center" textRotation="0" wrapText="false" indent="0" shrinkToFit="false"/>
      <protection locked="true" hidden="false"/>
    </xf>
    <xf numFmtId="168" fontId="23" fillId="0" borderId="0" xfId="0" applyFont="true" applyBorder="false" applyAlignment="true" applyProtection="false">
      <alignment horizontal="center" vertical="center" textRotation="0" wrapText="false" indent="0" shrinkToFit="false"/>
      <protection locked="true" hidden="false"/>
    </xf>
    <xf numFmtId="167" fontId="14" fillId="9" borderId="0" xfId="0" applyFont="true" applyBorder="false" applyAlignment="true" applyProtection="false">
      <alignment horizontal="center" vertical="center" textRotation="0" wrapText="false" indent="0" shrinkToFit="false"/>
      <protection locked="true" hidden="false"/>
    </xf>
    <xf numFmtId="168" fontId="14" fillId="9" borderId="0" xfId="0" applyFont="true" applyBorder="false" applyAlignment="true" applyProtection="false">
      <alignment horizontal="center" vertical="center" textRotation="0" wrapText="false" indent="0" shrinkToFit="false"/>
      <protection locked="true" hidden="false"/>
    </xf>
    <xf numFmtId="168" fontId="23" fillId="9" borderId="0" xfId="0" applyFont="true" applyBorder="false" applyAlignment="true" applyProtection="false">
      <alignment horizontal="center" vertical="center" textRotation="0" wrapText="false" indent="0" shrinkToFit="false"/>
      <protection locked="true" hidden="false"/>
    </xf>
    <xf numFmtId="166" fontId="14" fillId="9" borderId="0" xfId="0" applyFont="true" applyBorder="false" applyAlignment="true" applyProtection="false">
      <alignment horizontal="center" vertical="center" textRotation="0" wrapText="false" indent="0" shrinkToFit="false"/>
      <protection locked="true" hidden="false"/>
    </xf>
    <xf numFmtId="164" fontId="32" fillId="9" borderId="0" xfId="0" applyFont="true" applyBorder="true" applyAlignment="true" applyProtection="false">
      <alignment horizontal="right" vertical="bottom" textRotation="0" wrapText="false" indent="0" shrinkToFit="false"/>
      <protection locked="true" hidden="false"/>
    </xf>
    <xf numFmtId="165" fontId="16" fillId="9" borderId="0" xfId="0" applyFont="true" applyBorder="true" applyAlignment="true" applyProtection="false">
      <alignment horizontal="left" vertical="top" textRotation="0" wrapText="false" indent="0" shrinkToFit="false"/>
      <protection locked="true" hidden="false"/>
    </xf>
    <xf numFmtId="164" fontId="16" fillId="9" borderId="0" xfId="0" applyFont="true" applyBorder="false" applyAlignment="true" applyProtection="false">
      <alignment horizontal="center" vertical="top" textRotation="0" wrapText="false" indent="0" shrinkToFit="false"/>
      <protection locked="true" hidden="false"/>
    </xf>
    <xf numFmtId="164" fontId="16" fillId="9" borderId="0" xfId="0" applyFont="true" applyBorder="false" applyAlignment="true" applyProtection="false">
      <alignment horizontal="general" vertical="top" textRotation="0" wrapText="false" indent="0" shrinkToFit="false"/>
      <protection locked="true" hidden="false"/>
    </xf>
    <xf numFmtId="165" fontId="17" fillId="9" borderId="6" xfId="0" applyFont="true" applyBorder="true" applyAlignment="true" applyProtection="false">
      <alignment horizontal="left" vertical="center" textRotation="0" wrapText="false" indent="1" shrinkToFit="false"/>
      <protection locked="true" hidden="false"/>
    </xf>
    <xf numFmtId="164" fontId="14" fillId="0" borderId="7" xfId="0" applyFont="true" applyBorder="true" applyAlignment="true" applyProtection="false">
      <alignment horizontal="center" vertical="center" textRotation="0" wrapText="false" indent="0" shrinkToFit="false"/>
      <protection locked="true" hidden="false"/>
    </xf>
    <xf numFmtId="167" fontId="17" fillId="9" borderId="8" xfId="0" applyFont="true" applyBorder="true" applyAlignment="true" applyProtection="false">
      <alignment horizontal="center" vertical="center" textRotation="0" wrapText="false" indent="0" shrinkToFit="false"/>
      <protection locked="true" hidden="false"/>
    </xf>
    <xf numFmtId="168" fontId="17" fillId="9" borderId="8" xfId="0" applyFont="true" applyBorder="true" applyAlignment="true" applyProtection="false">
      <alignment horizontal="center" vertical="center" textRotation="0" wrapText="false" indent="0" shrinkToFit="false"/>
      <protection locked="true" hidden="false"/>
    </xf>
    <xf numFmtId="168" fontId="17" fillId="9" borderId="9" xfId="0" applyFont="true" applyBorder="true" applyAlignment="true" applyProtection="false">
      <alignment horizontal="center" vertical="center" textRotation="0" wrapText="false" indent="0" shrinkToFit="false"/>
      <protection locked="true" hidden="false"/>
    </xf>
    <xf numFmtId="164" fontId="14" fillId="13" borderId="0" xfId="0" applyFont="true" applyBorder="false" applyAlignment="true" applyProtection="false">
      <alignment horizontal="general" vertical="center" textRotation="0" wrapText="false" indent="0" shrinkToFit="false"/>
      <protection locked="true" hidden="false"/>
    </xf>
    <xf numFmtId="165" fontId="19" fillId="9" borderId="0" xfId="0" applyFont="true" applyBorder="true" applyAlignment="true" applyProtection="false">
      <alignment horizontal="left" vertical="center" textRotation="0" wrapText="false" indent="0" shrinkToFit="false"/>
      <protection locked="true" hidden="false"/>
    </xf>
    <xf numFmtId="164" fontId="19" fillId="9" borderId="0" xfId="0" applyFont="true" applyBorder="false" applyAlignment="true" applyProtection="false">
      <alignment horizontal="center" vertical="center" textRotation="0" wrapText="false" indent="0" shrinkToFit="false"/>
      <protection locked="true" hidden="false"/>
    </xf>
    <xf numFmtId="164" fontId="14" fillId="0" borderId="10" xfId="0" applyFont="true" applyBorder="true" applyAlignment="true" applyProtection="false">
      <alignment horizontal="center" vertical="center" textRotation="0" wrapText="false" indent="0" shrinkToFit="false"/>
      <protection locked="true" hidden="false"/>
    </xf>
    <xf numFmtId="164" fontId="14" fillId="9" borderId="11" xfId="0" applyFont="true" applyBorder="true" applyAlignment="true" applyProtection="false">
      <alignment horizontal="left" vertical="center" textRotation="0" wrapText="false" indent="0" shrinkToFit="false"/>
      <protection locked="true" hidden="false"/>
    </xf>
    <xf numFmtId="165" fontId="25" fillId="14" borderId="12" xfId="0" applyFont="true" applyBorder="true" applyAlignment="true" applyProtection="false">
      <alignment horizontal="left" vertical="center" textRotation="0" wrapText="false" indent="1" shrinkToFit="false"/>
      <protection locked="true" hidden="false"/>
    </xf>
    <xf numFmtId="167" fontId="25" fillId="14" borderId="13" xfId="0" applyFont="true" applyBorder="true" applyAlignment="true" applyProtection="false">
      <alignment horizontal="center" vertical="center" textRotation="0" wrapText="false" indent="0" shrinkToFit="false"/>
      <protection locked="true" hidden="false"/>
    </xf>
    <xf numFmtId="165" fontId="25" fillId="14" borderId="12" xfId="0" applyFont="true" applyBorder="true" applyAlignment="true" applyProtection="false">
      <alignment horizontal="center" vertical="center" textRotation="0" wrapText="false" indent="0" shrinkToFit="false"/>
      <protection locked="true" hidden="false"/>
    </xf>
    <xf numFmtId="167" fontId="25" fillId="14" borderId="12" xfId="0" applyFont="true" applyBorder="true" applyAlignment="true" applyProtection="false">
      <alignment horizontal="center" vertical="center" textRotation="0" wrapText="false" indent="0" shrinkToFit="false"/>
      <protection locked="true" hidden="false"/>
    </xf>
    <xf numFmtId="168" fontId="25" fillId="14" borderId="12" xfId="0" applyFont="true" applyBorder="tru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general" vertical="center" textRotation="0" wrapText="true" indent="0" shrinkToFit="false"/>
      <protection locked="true" hidden="false"/>
    </xf>
    <xf numFmtId="164" fontId="34" fillId="0" borderId="0" xfId="0" applyFont="true" applyBorder="false" applyAlignment="true" applyProtection="false">
      <alignment horizontal="general" vertical="center" textRotation="0" wrapText="true" indent="0" shrinkToFit="false"/>
      <protection locked="true" hidden="false"/>
    </xf>
    <xf numFmtId="164" fontId="25" fillId="10" borderId="3" xfId="0" applyFont="true" applyBorder="true" applyAlignment="true" applyProtection="false">
      <alignment horizontal="left" vertical="center" textRotation="0" wrapText="false" indent="1" shrinkToFit="false"/>
      <protection locked="true" hidden="false"/>
    </xf>
    <xf numFmtId="165" fontId="25" fillId="10" borderId="3" xfId="0" applyFont="true" applyBorder="true" applyAlignment="true" applyProtection="false">
      <alignment horizontal="general" vertical="center" textRotation="0" wrapText="false" indent="0" shrinkToFit="false"/>
      <protection locked="true" hidden="false"/>
    </xf>
    <xf numFmtId="169" fontId="25" fillId="10" borderId="3" xfId="0" applyFont="true" applyBorder="true" applyAlignment="true" applyProtection="true">
      <alignment horizontal="center" vertical="center" textRotation="0" wrapText="false" indent="0" shrinkToFit="false"/>
      <protection locked="false" hidden="false"/>
    </xf>
    <xf numFmtId="165" fontId="25" fillId="10" borderId="3" xfId="0" applyFont="true" applyBorder="true" applyAlignment="true" applyProtection="false">
      <alignment horizontal="center" vertical="center" textRotation="0" wrapText="false" indent="0" shrinkToFit="false"/>
      <protection locked="true" hidden="false"/>
    </xf>
    <xf numFmtId="167" fontId="25" fillId="10" borderId="3" xfId="0" applyFont="true" applyBorder="true" applyAlignment="true" applyProtection="false">
      <alignment horizontal="center" vertical="center" textRotation="0" wrapText="false" indent="0" shrinkToFit="false"/>
      <protection locked="true" hidden="false"/>
    </xf>
    <xf numFmtId="168" fontId="25" fillId="10" borderId="3" xfId="0" applyFont="true" applyBorder="true" applyAlignment="true" applyProtection="false">
      <alignment horizontal="center" vertical="center" textRotation="0" wrapText="false" indent="0" shrinkToFit="false"/>
      <protection locked="true" hidden="false"/>
    </xf>
    <xf numFmtId="167" fontId="35" fillId="0" borderId="0" xfId="19" applyFont="true" applyBorder="false" applyAlignment="true" applyProtection="false">
      <alignment horizontal="general" vertical="center" textRotation="0" wrapText="false" indent="0" shrinkToFit="false"/>
      <protection locked="true" hidden="false"/>
    </xf>
    <xf numFmtId="164" fontId="17" fillId="10" borderId="3" xfId="0" applyFont="true" applyBorder="true" applyAlignment="true" applyProtection="false">
      <alignment horizontal="left" vertical="center" textRotation="0" wrapText="false" indent="1" shrinkToFit="false"/>
      <protection locked="true" hidden="false"/>
    </xf>
    <xf numFmtId="165" fontId="17" fillId="10" borderId="3" xfId="0" applyFont="true" applyBorder="true" applyAlignment="true" applyProtection="false">
      <alignment horizontal="left" vertical="center" textRotation="0" wrapText="false" indent="0" shrinkToFit="false"/>
      <protection locked="true" hidden="false"/>
    </xf>
    <xf numFmtId="169" fontId="17" fillId="10" borderId="14" xfId="0" applyFont="true" applyBorder="true" applyAlignment="true" applyProtection="true">
      <alignment horizontal="center" vertical="center" textRotation="0" wrapText="false" indent="0" shrinkToFit="false"/>
      <protection locked="false" hidden="false"/>
    </xf>
    <xf numFmtId="167" fontId="36" fillId="10" borderId="14" xfId="0" applyFont="true" applyBorder="true" applyAlignment="true" applyProtection="true">
      <alignment horizontal="center" vertical="center" textRotation="0" wrapText="false" indent="0" shrinkToFit="false"/>
      <protection locked="false" hidden="false"/>
    </xf>
    <xf numFmtId="165" fontId="18" fillId="10" borderId="3" xfId="0" applyFont="true" applyBorder="true" applyAlignment="true" applyProtection="false">
      <alignment horizontal="left" vertical="center" textRotation="0" wrapText="false" indent="0" shrinkToFit="false"/>
      <protection locked="true" hidden="false"/>
    </xf>
    <xf numFmtId="167" fontId="17" fillId="10" borderId="3" xfId="0" applyFont="true" applyBorder="true" applyAlignment="true" applyProtection="false">
      <alignment horizontal="center" vertical="center" textRotation="0" wrapText="false" indent="0" shrinkToFit="false"/>
      <protection locked="true" hidden="false"/>
    </xf>
    <xf numFmtId="168" fontId="17" fillId="10" borderId="3" xfId="0" applyFont="true" applyBorder="true" applyAlignment="true" applyProtection="false">
      <alignment horizontal="center" vertical="center" textRotation="0" wrapText="false" indent="0" shrinkToFit="false"/>
      <protection locked="true" hidden="false"/>
    </xf>
    <xf numFmtId="164" fontId="19" fillId="9" borderId="11" xfId="0" applyFont="true" applyBorder="true" applyAlignment="true" applyProtection="false">
      <alignment horizontal="left" vertical="center" textRotation="0" wrapText="true" indent="1" shrinkToFit="false"/>
      <protection locked="true" hidden="false"/>
    </xf>
    <xf numFmtId="169" fontId="24" fillId="9" borderId="14" xfId="0" applyFont="true" applyBorder="true" applyAlignment="true" applyProtection="true">
      <alignment horizontal="center" vertical="center" textRotation="0" wrapText="false" indent="0" shrinkToFit="false"/>
      <protection locked="false" hidden="false"/>
    </xf>
    <xf numFmtId="167" fontId="37" fillId="9" borderId="14" xfId="0" applyFont="true" applyBorder="true" applyAlignment="true" applyProtection="true">
      <alignment horizontal="center" vertical="center" textRotation="0" wrapText="false" indent="0" shrinkToFit="false"/>
      <protection locked="false" hidden="false"/>
    </xf>
    <xf numFmtId="165" fontId="38" fillId="9" borderId="14" xfId="0" applyFont="true" applyBorder="true" applyAlignment="true" applyProtection="true">
      <alignment horizontal="left" vertical="center" textRotation="0" wrapText="true" indent="0" shrinkToFit="false"/>
      <protection locked="false" hidden="false"/>
    </xf>
    <xf numFmtId="164" fontId="37" fillId="9" borderId="14" xfId="0" applyFont="true" applyBorder="true" applyAlignment="true" applyProtection="true">
      <alignment horizontal="center" vertical="center" textRotation="0" wrapText="true" indent="0" shrinkToFit="false"/>
      <protection locked="false" hidden="false"/>
    </xf>
    <xf numFmtId="168" fontId="24" fillId="9" borderId="3" xfId="0" applyFont="true" applyBorder="true" applyAlignment="true" applyProtection="true">
      <alignment horizontal="center" vertical="center" textRotation="0" wrapText="false" indent="0" shrinkToFit="false"/>
      <protection locked="false" hidden="false"/>
    </xf>
    <xf numFmtId="169" fontId="39" fillId="9" borderId="11" xfId="0" applyFont="true" applyBorder="true" applyAlignment="true" applyProtection="false">
      <alignment horizontal="center" vertical="center" textRotation="0" wrapText="false" indent="0" shrinkToFit="false"/>
      <protection locked="true" hidden="false"/>
    </xf>
    <xf numFmtId="168" fontId="39" fillId="9" borderId="11" xfId="0" applyFont="true" applyBorder="true" applyAlignment="true" applyProtection="false">
      <alignment horizontal="center" vertical="center" textRotation="0" wrapText="false" indent="0" shrinkToFit="false"/>
      <protection locked="true" hidden="false"/>
    </xf>
    <xf numFmtId="165" fontId="40" fillId="10" borderId="3" xfId="0" applyFont="true" applyBorder="true" applyAlignment="true" applyProtection="false">
      <alignment horizontal="left" vertical="center" textRotation="0" wrapText="false" indent="0" shrinkToFit="false"/>
      <protection locked="true" hidden="false"/>
    </xf>
    <xf numFmtId="164" fontId="36" fillId="10" borderId="3" xfId="0" applyFont="true" applyBorder="true" applyAlignment="true" applyProtection="false">
      <alignment horizontal="left" vertical="center" textRotation="0" wrapText="false" indent="0" shrinkToFit="false"/>
      <protection locked="true" hidden="false"/>
    </xf>
    <xf numFmtId="167" fontId="37" fillId="9" borderId="14" xfId="0" applyFont="true" applyBorder="true" applyAlignment="true" applyProtection="false">
      <alignment horizontal="center" vertical="center" textRotation="0" wrapText="false" indent="0" shrinkToFit="false"/>
      <protection locked="true" hidden="false"/>
    </xf>
    <xf numFmtId="169" fontId="25" fillId="10" borderId="3" xfId="0" applyFont="true" applyBorder="true" applyAlignment="true" applyProtection="true">
      <alignment horizontal="left" vertical="center" textRotation="0" wrapText="false" indent="1" shrinkToFit="false"/>
      <protection locked="false" hidden="false"/>
    </xf>
    <xf numFmtId="165" fontId="41" fillId="10" borderId="3" xfId="0" applyFont="true" applyBorder="true" applyAlignment="true" applyProtection="false">
      <alignment horizontal="center" vertical="center" textRotation="0" wrapText="false" indent="0" shrinkToFit="false"/>
      <protection locked="true" hidden="false"/>
    </xf>
    <xf numFmtId="164" fontId="41" fillId="10" borderId="3" xfId="0" applyFont="true" applyBorder="true" applyAlignment="true" applyProtection="false">
      <alignment horizontal="left" vertical="center" textRotation="0" wrapText="false" indent="1" shrinkToFit="false"/>
      <protection locked="true" hidden="false"/>
    </xf>
    <xf numFmtId="167" fontId="36" fillId="10" borderId="14" xfId="0" applyFont="true" applyBorder="true" applyAlignment="true" applyProtection="false">
      <alignment horizontal="center" vertical="center" textRotation="0" wrapText="false" indent="0" shrinkToFit="false"/>
      <protection locked="true" hidden="false"/>
    </xf>
    <xf numFmtId="164" fontId="19" fillId="9" borderId="11" xfId="0" applyFont="true" applyBorder="true" applyAlignment="true" applyProtection="false">
      <alignment horizontal="left" vertical="center" textRotation="0" wrapText="false" indent="1" shrinkToFit="false"/>
      <protection locked="true" hidden="false"/>
    </xf>
    <xf numFmtId="169" fontId="0" fillId="0" borderId="0" xfId="0" applyFont="false" applyBorder="false" applyAlignment="true" applyProtection="true">
      <alignment horizontal="left" vertical="center" textRotation="0" wrapText="false" indent="1" shrinkToFit="false"/>
      <protection locked="false" hidden="false"/>
    </xf>
    <xf numFmtId="164" fontId="42" fillId="0" borderId="3" xfId="0" applyFont="true" applyBorder="true" applyAlignment="true" applyProtection="false">
      <alignment horizontal="center" vertical="center" textRotation="0" wrapText="false" indent="0" shrinkToFit="false"/>
      <protection locked="true" hidden="false"/>
    </xf>
    <xf numFmtId="169" fontId="24" fillId="9" borderId="3" xfId="0" applyFont="true" applyBorder="true" applyAlignment="true" applyProtection="true">
      <alignment horizontal="center" vertical="center" textRotation="0" wrapText="false" indent="0" shrinkToFit="false"/>
      <protection locked="false" hidden="false"/>
    </xf>
    <xf numFmtId="164" fontId="19" fillId="9" borderId="12" xfId="0" applyFont="true" applyBorder="true" applyAlignment="true" applyProtection="false">
      <alignment horizontal="left" vertical="center" textRotation="0" wrapText="true" indent="1" shrinkToFit="false"/>
      <protection locked="true" hidden="false"/>
    </xf>
    <xf numFmtId="164" fontId="19" fillId="9" borderId="12" xfId="0" applyFont="true" applyBorder="true" applyAlignment="true" applyProtection="false">
      <alignment horizontal="left" vertical="center" textRotation="0" wrapText="false" indent="1" shrinkToFit="false"/>
      <protection locked="true" hidden="false"/>
    </xf>
    <xf numFmtId="165" fontId="19" fillId="9" borderId="0" xfId="0" applyFont="true" applyBorder="false" applyAlignment="true" applyProtection="false">
      <alignment horizontal="left" vertical="center" textRotation="0" wrapText="true" indent="1" shrinkToFit="false"/>
      <protection locked="true" hidden="false"/>
    </xf>
    <xf numFmtId="164" fontId="37" fillId="9" borderId="5" xfId="0" applyFont="true" applyBorder="true" applyAlignment="true" applyProtection="true">
      <alignment horizontal="center" vertical="center" textRotation="0" wrapText="true" indent="0" shrinkToFit="false"/>
      <protection locked="false" hidden="false"/>
    </xf>
    <xf numFmtId="165" fontId="17" fillId="10" borderId="3" xfId="0" applyFont="true" applyBorder="true" applyAlignment="true" applyProtection="false">
      <alignment horizontal="left" vertical="center" textRotation="0" wrapText="true" indent="0" shrinkToFit="false"/>
      <protection locked="true" hidden="false"/>
    </xf>
    <xf numFmtId="164" fontId="36" fillId="10" borderId="3" xfId="0" applyFont="true" applyBorder="true" applyAlignment="true" applyProtection="false">
      <alignment horizontal="center" vertical="center" textRotation="0" wrapText="false" indent="0" shrinkToFit="false"/>
      <protection locked="true" hidden="false"/>
    </xf>
    <xf numFmtId="165" fontId="40" fillId="10" borderId="3" xfId="0" applyFont="true" applyBorder="true" applyAlignment="true" applyProtection="false">
      <alignment horizontal="left" vertical="center" textRotation="0" wrapText="true" indent="0" shrinkToFit="false"/>
      <protection locked="true" hidden="false"/>
    </xf>
    <xf numFmtId="164" fontId="36" fillId="10" borderId="3" xfId="0" applyFont="true" applyBorder="true" applyAlignment="true" applyProtection="false">
      <alignment horizontal="left" vertical="center" textRotation="0" wrapText="true" indent="0" shrinkToFit="false"/>
      <protection locked="true" hidden="false"/>
    </xf>
    <xf numFmtId="165" fontId="25" fillId="14" borderId="0" xfId="0" applyFont="true" applyBorder="true" applyAlignment="true" applyProtection="false">
      <alignment horizontal="left" vertical="center" textRotation="0" wrapText="false" indent="1" shrinkToFit="false"/>
      <protection locked="true" hidden="false"/>
    </xf>
    <xf numFmtId="167" fontId="25" fillId="14" borderId="0" xfId="0" applyFont="true" applyBorder="true" applyAlignment="true" applyProtection="false">
      <alignment horizontal="center" vertical="center" textRotation="0" wrapText="false" indent="0" shrinkToFit="false"/>
      <protection locked="true" hidden="false"/>
    </xf>
    <xf numFmtId="168" fontId="25" fillId="14" borderId="0" xfId="0" applyFont="true" applyBorder="true" applyAlignment="true" applyProtection="false">
      <alignment horizontal="center" vertical="center" textRotation="0" wrapText="false" indent="0" shrinkToFit="false"/>
      <protection locked="true" hidden="false"/>
    </xf>
    <xf numFmtId="169" fontId="14" fillId="0" borderId="0" xfId="0" applyFont="true" applyBorder="false" applyAlignment="true" applyProtection="false">
      <alignment horizontal="center" vertical="center" textRotation="0" wrapText="false" indent="0" shrinkToFit="false"/>
      <protection locked="true" hidden="false"/>
    </xf>
    <xf numFmtId="164" fontId="43" fillId="0" borderId="0" xfId="0" applyFont="true" applyBorder="false" applyAlignment="true" applyProtection="false">
      <alignment horizontal="general" vertical="bottom" textRotation="0" wrapText="true" indent="0" shrinkToFit="false"/>
      <protection locked="true" hidden="false"/>
    </xf>
    <xf numFmtId="164" fontId="43" fillId="0" borderId="0" xfId="0" applyFont="true" applyBorder="false" applyAlignment="true" applyProtection="false">
      <alignment horizontal="center" vertical="bottom" textRotation="0" wrapText="true" indent="0" shrinkToFit="false"/>
      <protection locked="true" hidden="false"/>
    </xf>
    <xf numFmtId="164" fontId="43" fillId="9" borderId="0" xfId="0" applyFont="true" applyBorder="false" applyAlignment="true" applyProtection="false">
      <alignment horizontal="general" vertical="bottom" textRotation="0" wrapText="true" indent="0" shrinkToFit="false"/>
      <protection locked="true" hidden="false"/>
    </xf>
    <xf numFmtId="164" fontId="43" fillId="9" borderId="0" xfId="0" applyFont="true" applyBorder="false" applyAlignment="true" applyProtection="false">
      <alignment horizontal="center" vertical="bottom" textRotation="0" wrapText="true" indent="0" shrinkToFit="false"/>
      <protection locked="true" hidden="false"/>
    </xf>
    <xf numFmtId="164" fontId="44" fillId="9" borderId="0" xfId="0" applyFont="true" applyBorder="false" applyAlignment="true" applyProtection="false">
      <alignment horizontal="general" vertical="center" textRotation="0" wrapText="true" indent="0" shrinkToFit="false"/>
      <protection locked="true" hidden="false"/>
    </xf>
    <xf numFmtId="164" fontId="44" fillId="9" borderId="15" xfId="0" applyFont="true" applyBorder="true" applyAlignment="true" applyProtection="false">
      <alignment horizontal="general" vertical="center" textRotation="0" wrapText="true" indent="0" shrinkToFit="false"/>
      <protection locked="true" hidden="false"/>
    </xf>
    <xf numFmtId="164" fontId="44" fillId="9" borderId="16" xfId="0" applyFont="true" applyBorder="true" applyAlignment="true" applyProtection="false">
      <alignment horizontal="general" vertical="center" textRotation="0" wrapText="true" indent="0" shrinkToFit="false"/>
      <protection locked="true" hidden="false"/>
    </xf>
    <xf numFmtId="164" fontId="44" fillId="9" borderId="16" xfId="0" applyFont="true" applyBorder="true" applyAlignment="true" applyProtection="false">
      <alignment horizontal="center" vertical="center" textRotation="0" wrapText="true" indent="0" shrinkToFit="false"/>
      <protection locked="true" hidden="false"/>
    </xf>
    <xf numFmtId="164" fontId="44" fillId="9" borderId="17" xfId="0" applyFont="true" applyBorder="true" applyAlignment="true" applyProtection="false">
      <alignment horizontal="general" vertical="center" textRotation="0" wrapText="true" indent="0" shrinkToFit="false"/>
      <protection locked="true" hidden="false"/>
    </xf>
    <xf numFmtId="164" fontId="45" fillId="9" borderId="0" xfId="0" applyFont="true" applyBorder="false" applyAlignment="true" applyProtection="false">
      <alignment horizontal="general" vertical="center" textRotation="0" wrapText="true" indent="0" shrinkToFit="false"/>
      <protection locked="true" hidden="false"/>
    </xf>
    <xf numFmtId="164" fontId="46" fillId="9" borderId="18" xfId="0" applyFont="true" applyBorder="true" applyAlignment="true" applyProtection="false">
      <alignment horizontal="right" vertical="bottom" textRotation="0" wrapText="true" indent="1" shrinkToFit="false"/>
      <protection locked="true" hidden="false"/>
    </xf>
    <xf numFmtId="164" fontId="46" fillId="9" borderId="0" xfId="0" applyFont="true" applyBorder="false" applyAlignment="true" applyProtection="false">
      <alignment horizontal="right" vertical="bottom" textRotation="0" wrapText="true" indent="1" shrinkToFit="false"/>
      <protection locked="true" hidden="false"/>
    </xf>
    <xf numFmtId="166" fontId="47" fillId="15" borderId="0" xfId="0" applyFont="true" applyBorder="true" applyAlignment="true" applyProtection="false">
      <alignment horizontal="left" vertical="top" textRotation="0" wrapText="true" indent="0" shrinkToFit="false"/>
      <protection locked="true" hidden="false"/>
    </xf>
    <xf numFmtId="164" fontId="48" fillId="15" borderId="0" xfId="0" applyFont="true" applyBorder="true" applyAlignment="true" applyProtection="false">
      <alignment horizontal="center" vertical="center" textRotation="90" wrapText="true" indent="0" shrinkToFit="false"/>
      <protection locked="true" hidden="false"/>
    </xf>
    <xf numFmtId="164" fontId="49" fillId="10" borderId="0" xfId="0" applyFont="true" applyBorder="true" applyAlignment="true" applyProtection="false">
      <alignment horizontal="center" vertical="center" textRotation="90" wrapText="true" indent="0" shrinkToFit="false"/>
      <protection locked="true" hidden="false"/>
    </xf>
    <xf numFmtId="164" fontId="43" fillId="9" borderId="19" xfId="0" applyFont="true" applyBorder="true" applyAlignment="true" applyProtection="false">
      <alignment horizontal="general" vertical="bottom" textRotation="0" wrapText="true" indent="0" shrinkToFit="false"/>
      <protection locked="true" hidden="false"/>
    </xf>
    <xf numFmtId="164" fontId="45" fillId="9" borderId="0" xfId="0" applyFont="true" applyBorder="false" applyAlignment="true" applyProtection="false">
      <alignment horizontal="left" vertical="center" textRotation="0" wrapText="true" indent="0" shrinkToFit="false"/>
      <protection locked="true" hidden="false"/>
    </xf>
    <xf numFmtId="164" fontId="45" fillId="9" borderId="18" xfId="0" applyFont="true" applyBorder="true" applyAlignment="true" applyProtection="false">
      <alignment horizontal="left" vertical="center" textRotation="0" wrapText="true" indent="0" shrinkToFit="false"/>
      <protection locked="true" hidden="false"/>
    </xf>
    <xf numFmtId="166" fontId="50" fillId="15" borderId="0" xfId="0" applyFont="true" applyBorder="false" applyAlignment="true" applyProtection="false">
      <alignment horizontal="center" vertical="center" textRotation="0" wrapText="true" indent="0" shrinkToFit="false"/>
      <protection locked="true" hidden="false"/>
    </xf>
    <xf numFmtId="164" fontId="51" fillId="15" borderId="0" xfId="0" applyFont="true" applyBorder="true" applyAlignment="true" applyProtection="false">
      <alignment horizontal="center" vertical="center" textRotation="0" wrapText="true" indent="0" shrinkToFit="false"/>
      <protection locked="true" hidden="false"/>
    </xf>
    <xf numFmtId="166" fontId="52" fillId="0" borderId="20" xfId="0" applyFont="true" applyBorder="true" applyAlignment="true" applyProtection="false">
      <alignment horizontal="center" vertical="center" textRotation="0" wrapText="true" indent="0" shrinkToFit="false"/>
      <protection locked="true" hidden="false"/>
    </xf>
    <xf numFmtId="166" fontId="53" fillId="16" borderId="21" xfId="0" applyFont="true" applyBorder="true" applyAlignment="true" applyProtection="false">
      <alignment horizontal="center" vertical="center" textRotation="0" wrapText="true" indent="0" shrinkToFit="false"/>
      <protection locked="true" hidden="false"/>
    </xf>
    <xf numFmtId="164" fontId="46" fillId="9" borderId="0" xfId="0" applyFont="true" applyBorder="false" applyAlignment="true" applyProtection="false">
      <alignment horizontal="left" vertical="top" textRotation="0" wrapText="true" indent="0" shrinkToFit="false"/>
      <protection locked="true" hidden="false"/>
    </xf>
    <xf numFmtId="164" fontId="46" fillId="9" borderId="18" xfId="0" applyFont="true" applyBorder="true" applyAlignment="true" applyProtection="false">
      <alignment horizontal="left" vertical="top" textRotation="0" wrapText="true" indent="0" shrinkToFit="false"/>
      <protection locked="true" hidden="false"/>
    </xf>
    <xf numFmtId="166" fontId="54" fillId="15" borderId="0" xfId="0" applyFont="true" applyBorder="false" applyAlignment="true" applyProtection="false">
      <alignment horizontal="center" vertical="center" textRotation="0" wrapText="true" indent="0" shrinkToFit="false"/>
      <protection locked="true" hidden="false"/>
    </xf>
    <xf numFmtId="166" fontId="48" fillId="15" borderId="0" xfId="0" applyFont="true" applyBorder="true" applyAlignment="true" applyProtection="false">
      <alignment horizontal="right" vertical="center" textRotation="0" wrapText="true" indent="0" shrinkToFit="false"/>
      <protection locked="true" hidden="false"/>
    </xf>
    <xf numFmtId="166" fontId="55" fillId="15" borderId="0" xfId="0" applyFont="true" applyBorder="false" applyAlignment="true" applyProtection="false">
      <alignment horizontal="general" vertical="center" textRotation="0" wrapText="true" indent="0" shrinkToFit="false"/>
      <protection locked="true" hidden="false"/>
    </xf>
    <xf numFmtId="166" fontId="48" fillId="15" borderId="0" xfId="0" applyFont="true" applyBorder="false" applyAlignment="true" applyProtection="false">
      <alignment horizontal="right" vertical="center" textRotation="0" wrapText="true" indent="0" shrinkToFit="false"/>
      <protection locked="true" hidden="false"/>
    </xf>
    <xf numFmtId="168" fontId="51" fillId="15" borderId="0" xfId="0" applyFont="true" applyBorder="false" applyAlignment="true" applyProtection="false">
      <alignment horizontal="center" vertical="center" textRotation="0" wrapText="true" indent="0" shrinkToFit="false"/>
      <protection locked="true" hidden="false"/>
    </xf>
    <xf numFmtId="164" fontId="56" fillId="9" borderId="0" xfId="0" applyFont="true" applyBorder="true" applyAlignment="true" applyProtection="false">
      <alignment horizontal="center" vertical="center" textRotation="0" wrapText="true" indent="0" shrinkToFit="false"/>
      <protection locked="true" hidden="false"/>
    </xf>
    <xf numFmtId="164" fontId="46" fillId="9" borderId="15" xfId="0" applyFont="true" applyBorder="true" applyAlignment="true" applyProtection="false">
      <alignment horizontal="left" vertical="top" textRotation="0" wrapText="true" indent="0" shrinkToFit="false"/>
      <protection locked="true" hidden="false"/>
    </xf>
    <xf numFmtId="164" fontId="46" fillId="9" borderId="16" xfId="0" applyFont="true" applyBorder="true" applyAlignment="true" applyProtection="false">
      <alignment horizontal="left" vertical="top" textRotation="0" wrapText="true" indent="0" shrinkToFit="false"/>
      <protection locked="true" hidden="false"/>
    </xf>
    <xf numFmtId="164" fontId="53" fillId="10" borderId="16" xfId="0" applyFont="true" applyBorder="true" applyAlignment="true" applyProtection="false">
      <alignment horizontal="general" vertical="center" textRotation="0" wrapText="true" indent="0" shrinkToFit="false"/>
      <protection locked="true" hidden="false"/>
    </xf>
    <xf numFmtId="164" fontId="53" fillId="16" borderId="16" xfId="0" applyFont="true" applyBorder="true" applyAlignment="true" applyProtection="false">
      <alignment horizontal="right" vertical="center" textRotation="0" wrapText="true" indent="0" shrinkToFit="false"/>
      <protection locked="true" hidden="false"/>
    </xf>
    <xf numFmtId="166" fontId="51" fillId="9" borderId="22" xfId="0" applyFont="true" applyBorder="true" applyAlignment="true" applyProtection="false">
      <alignment horizontal="right" vertical="center" textRotation="0" wrapText="true" indent="0" shrinkToFit="false"/>
      <protection locked="true" hidden="false"/>
    </xf>
    <xf numFmtId="164" fontId="49" fillId="10" borderId="23" xfId="0" applyFont="true" applyBorder="true" applyAlignment="true" applyProtection="false">
      <alignment horizontal="center" vertical="center" textRotation="0" wrapText="true" indent="0" shrinkToFit="false"/>
      <protection locked="true" hidden="false"/>
    </xf>
    <xf numFmtId="165" fontId="51" fillId="15" borderId="23" xfId="0" applyFont="true" applyBorder="true" applyAlignment="true" applyProtection="false">
      <alignment horizontal="center" vertical="center" textRotation="90" wrapText="true" indent="0" shrinkToFit="false"/>
      <protection locked="true" hidden="false"/>
    </xf>
    <xf numFmtId="168" fontId="51" fillId="15" borderId="23" xfId="0" applyFont="true" applyBorder="true" applyAlignment="true" applyProtection="false">
      <alignment horizontal="center" vertical="center" textRotation="90" wrapText="true" indent="0" shrinkToFit="false"/>
      <protection locked="true" hidden="false"/>
    </xf>
    <xf numFmtId="164" fontId="57" fillId="16" borderId="24" xfId="0" applyFont="true" applyBorder="true" applyAlignment="true" applyProtection="false">
      <alignment horizontal="center" vertical="center" textRotation="0" wrapText="true" indent="0" shrinkToFit="false"/>
      <protection locked="true" hidden="false"/>
    </xf>
    <xf numFmtId="164" fontId="57" fillId="16" borderId="25" xfId="0" applyFont="true" applyBorder="true" applyAlignment="true" applyProtection="false">
      <alignment horizontal="center" vertical="center" textRotation="0" wrapText="true" indent="0" shrinkToFit="false"/>
      <protection locked="true" hidden="false"/>
    </xf>
    <xf numFmtId="164" fontId="57" fillId="16" borderId="26" xfId="0" applyFont="true" applyBorder="true" applyAlignment="true" applyProtection="false">
      <alignment horizontal="center" vertical="center" textRotation="0" wrapText="true" indent="0" shrinkToFit="false"/>
      <protection locked="true" hidden="false"/>
    </xf>
    <xf numFmtId="164" fontId="43" fillId="9" borderId="17" xfId="0" applyFont="true" applyBorder="true" applyAlignment="true" applyProtection="false">
      <alignment horizontal="general" vertical="bottom" textRotation="0" wrapText="true" indent="0" shrinkToFit="false"/>
      <protection locked="true" hidden="false"/>
    </xf>
    <xf numFmtId="164" fontId="43" fillId="0" borderId="18" xfId="0" applyFont="true" applyBorder="true" applyAlignment="true" applyProtection="false">
      <alignment horizontal="general" vertical="bottom" textRotation="0" wrapText="true" indent="0" shrinkToFit="false"/>
      <protection locked="true" hidden="false"/>
    </xf>
    <xf numFmtId="164" fontId="53" fillId="10" borderId="0" xfId="0" applyFont="true" applyBorder="false" applyAlignment="true" applyProtection="false">
      <alignment horizontal="general" vertical="center" textRotation="0" wrapText="true" indent="0" shrinkToFit="false"/>
      <protection locked="true" hidden="false"/>
    </xf>
    <xf numFmtId="164" fontId="45" fillId="10" borderId="27" xfId="0" applyFont="true" applyBorder="true" applyAlignment="true" applyProtection="false">
      <alignment horizontal="left" vertical="center" textRotation="0" wrapText="true" indent="0" shrinkToFit="false"/>
      <protection locked="true" hidden="false"/>
    </xf>
    <xf numFmtId="164" fontId="53" fillId="16" borderId="0" xfId="0" applyFont="true" applyBorder="false" applyAlignment="true" applyProtection="false">
      <alignment horizontal="general" vertical="center" textRotation="0" wrapText="true" indent="0" shrinkToFit="false"/>
      <protection locked="true" hidden="false"/>
    </xf>
    <xf numFmtId="164" fontId="53" fillId="16" borderId="28" xfId="0" applyFont="true" applyBorder="true" applyAlignment="true" applyProtection="false">
      <alignment horizontal="general" vertical="center" textRotation="0" wrapText="true" indent="0" shrinkToFit="false"/>
      <protection locked="true" hidden="false"/>
    </xf>
    <xf numFmtId="164" fontId="45" fillId="10" borderId="29" xfId="0" applyFont="true" applyBorder="true" applyAlignment="true" applyProtection="false">
      <alignment horizontal="center" vertical="center" textRotation="0" wrapText="true" indent="0" shrinkToFit="false"/>
      <protection locked="true" hidden="false"/>
    </xf>
    <xf numFmtId="164" fontId="45" fillId="10" borderId="30" xfId="0" applyFont="true" applyBorder="true" applyAlignment="true" applyProtection="false">
      <alignment horizontal="center" vertical="center" textRotation="0" wrapText="true" indent="0" shrinkToFit="false"/>
      <protection locked="true" hidden="false"/>
    </xf>
    <xf numFmtId="164" fontId="45" fillId="10" borderId="31" xfId="0" applyFont="true" applyBorder="true" applyAlignment="true" applyProtection="false">
      <alignment horizontal="center" vertical="center" textRotation="0" wrapText="true" indent="0" shrinkToFit="false"/>
      <protection locked="true" hidden="false"/>
    </xf>
    <xf numFmtId="166" fontId="51" fillId="9" borderId="32" xfId="0" applyFont="true" applyBorder="true" applyAlignment="true" applyProtection="false">
      <alignment horizontal="left" vertical="center" textRotation="0" wrapText="true" indent="0" shrinkToFit="false"/>
      <protection locked="true" hidden="false"/>
    </xf>
    <xf numFmtId="166" fontId="51" fillId="9" borderId="33" xfId="0" applyFont="true" applyBorder="true" applyAlignment="true" applyProtection="false">
      <alignment horizontal="left" vertical="center" textRotation="0" wrapText="true" indent="0" shrinkToFit="false"/>
      <protection locked="true" hidden="false"/>
    </xf>
    <xf numFmtId="171" fontId="51" fillId="9" borderId="34" xfId="15" applyFont="true" applyBorder="true" applyAlignment="true" applyProtection="false">
      <alignment horizontal="left" vertical="center" textRotation="0" wrapText="true" indent="0" shrinkToFit="false"/>
      <protection locked="true" hidden="false"/>
    </xf>
    <xf numFmtId="164" fontId="53" fillId="10" borderId="29" xfId="0" applyFont="true" applyBorder="true" applyAlignment="true" applyProtection="false">
      <alignment horizontal="center" vertical="center" textRotation="0" wrapText="true" indent="0" shrinkToFit="false"/>
      <protection locked="true" hidden="false"/>
    </xf>
    <xf numFmtId="164" fontId="53" fillId="10" borderId="30" xfId="0" applyFont="true" applyBorder="true" applyAlignment="true" applyProtection="false">
      <alignment horizontal="center" vertical="center" textRotation="0" wrapText="true" indent="0" shrinkToFit="false"/>
      <protection locked="true" hidden="false"/>
    </xf>
    <xf numFmtId="164" fontId="53" fillId="10" borderId="31" xfId="0" applyFont="true" applyBorder="true" applyAlignment="true" applyProtection="false">
      <alignment horizontal="center" vertical="center" textRotation="0" wrapText="true" indent="0" shrinkToFit="false"/>
      <protection locked="true" hidden="false"/>
    </xf>
    <xf numFmtId="164" fontId="53" fillId="9" borderId="18" xfId="0" applyFont="true" applyBorder="true" applyAlignment="true" applyProtection="false">
      <alignment horizontal="left" vertical="center" textRotation="0" wrapText="true" indent="0" shrinkToFit="false"/>
      <protection locked="true" hidden="false"/>
    </xf>
    <xf numFmtId="164" fontId="53" fillId="9" borderId="0" xfId="0" applyFont="true" applyBorder="false" applyAlignment="true" applyProtection="false">
      <alignment horizontal="left" vertical="center" textRotation="0" wrapText="true" indent="0" shrinkToFit="false"/>
      <protection locked="true" hidden="false"/>
    </xf>
    <xf numFmtId="166" fontId="51" fillId="9" borderId="35" xfId="0" applyFont="true" applyBorder="true" applyAlignment="true" applyProtection="false">
      <alignment horizontal="left" vertical="center" textRotation="0" wrapText="true" indent="0" shrinkToFit="false"/>
      <protection locked="true" hidden="false"/>
    </xf>
    <xf numFmtId="165" fontId="51" fillId="9" borderId="28" xfId="0" applyFont="true" applyBorder="true" applyAlignment="true" applyProtection="false">
      <alignment horizontal="left" vertical="center" textRotation="0" wrapText="true" indent="0" shrinkToFit="false"/>
      <protection locked="true" hidden="false"/>
    </xf>
    <xf numFmtId="171" fontId="51" fillId="9" borderId="36" xfId="15" applyFont="true" applyBorder="true" applyAlignment="true" applyProtection="false">
      <alignment horizontal="left" vertical="center" textRotation="0" wrapText="true" indent="0" shrinkToFit="false"/>
      <protection locked="true" hidden="false"/>
    </xf>
    <xf numFmtId="169" fontId="42" fillId="15" borderId="29" xfId="15" applyFont="true" applyBorder="true" applyAlignment="true" applyProtection="false">
      <alignment horizontal="center" vertical="center" textRotation="0" wrapText="true" indent="0" shrinkToFit="false"/>
      <protection locked="true" hidden="false"/>
    </xf>
    <xf numFmtId="169" fontId="42" fillId="15" borderId="30" xfId="15" applyFont="true" applyBorder="true" applyAlignment="true" applyProtection="false">
      <alignment horizontal="center" vertical="center" textRotation="0" wrapText="true" indent="0" shrinkToFit="false"/>
      <protection locked="true" hidden="false"/>
    </xf>
    <xf numFmtId="169" fontId="43" fillId="15" borderId="30" xfId="0" applyFont="true" applyBorder="true" applyAlignment="true" applyProtection="false">
      <alignment horizontal="center" vertical="center" textRotation="0" wrapText="true" indent="0" shrinkToFit="false"/>
      <protection locked="true" hidden="false"/>
    </xf>
    <xf numFmtId="169" fontId="43" fillId="15" borderId="31" xfId="0" applyFont="true" applyBorder="true" applyAlignment="true" applyProtection="false">
      <alignment horizontal="center" vertical="center" textRotation="0" wrapText="true" indent="0" shrinkToFit="false"/>
      <protection locked="true" hidden="false"/>
    </xf>
    <xf numFmtId="168" fontId="58" fillId="9" borderId="19" xfId="0" applyFont="true" applyBorder="true" applyAlignment="true" applyProtection="false">
      <alignment horizontal="general" vertical="bottom" textRotation="0" wrapText="true" indent="0" shrinkToFit="false"/>
      <protection locked="true" hidden="false"/>
    </xf>
    <xf numFmtId="165" fontId="51" fillId="9" borderId="35" xfId="0" applyFont="true" applyBorder="true" applyAlignment="true" applyProtection="false">
      <alignment horizontal="left" vertical="center" textRotation="0" wrapText="true" indent="0" shrinkToFit="false"/>
      <protection locked="true" hidden="false"/>
    </xf>
    <xf numFmtId="168" fontId="43" fillId="15" borderId="29" xfId="0" applyFont="true" applyBorder="true" applyAlignment="true" applyProtection="false">
      <alignment horizontal="center" vertical="center" textRotation="0" wrapText="true" indent="0" shrinkToFit="false"/>
      <protection locked="true" hidden="false"/>
    </xf>
    <xf numFmtId="168" fontId="43" fillId="15" borderId="30" xfId="0" applyFont="true" applyBorder="true" applyAlignment="true" applyProtection="false">
      <alignment horizontal="center" vertical="center" textRotation="0" wrapText="true" indent="0" shrinkToFit="false"/>
      <protection locked="true" hidden="false"/>
    </xf>
    <xf numFmtId="168" fontId="43" fillId="15" borderId="31" xfId="0" applyFont="true" applyBorder="true" applyAlignment="true" applyProtection="false">
      <alignment horizontal="center" vertical="center" textRotation="0" wrapText="true" indent="0" shrinkToFit="false"/>
      <protection locked="true" hidden="false"/>
    </xf>
    <xf numFmtId="165" fontId="59" fillId="10" borderId="29" xfId="0" applyFont="true" applyBorder="true" applyAlignment="true" applyProtection="false">
      <alignment horizontal="center" vertical="center" textRotation="0" wrapText="true" indent="0" shrinkToFit="false"/>
      <protection locked="true" hidden="false"/>
    </xf>
    <xf numFmtId="165" fontId="59" fillId="10" borderId="30" xfId="0" applyFont="true" applyBorder="true" applyAlignment="true" applyProtection="false">
      <alignment horizontal="center" vertical="center" textRotation="0" wrapText="true" indent="0" shrinkToFit="false"/>
      <protection locked="true" hidden="false"/>
    </xf>
    <xf numFmtId="165" fontId="59" fillId="10" borderId="31" xfId="0" applyFont="true" applyBorder="true" applyAlignment="true" applyProtection="false">
      <alignment horizontal="center" vertical="center" textRotation="0" wrapText="true" indent="0" shrinkToFit="false"/>
      <protection locked="true" hidden="false"/>
    </xf>
    <xf numFmtId="165" fontId="51" fillId="9" borderId="37" xfId="0" applyFont="true" applyBorder="true" applyAlignment="true" applyProtection="false">
      <alignment horizontal="left" vertical="center" textRotation="0" wrapText="true" indent="0" shrinkToFit="false"/>
      <protection locked="true" hidden="false"/>
    </xf>
    <xf numFmtId="165" fontId="51" fillId="9" borderId="38" xfId="0" applyFont="true" applyBorder="true" applyAlignment="true" applyProtection="false">
      <alignment horizontal="left" vertical="center" textRotation="0" wrapText="true" indent="0" shrinkToFit="false"/>
      <protection locked="true" hidden="false"/>
    </xf>
    <xf numFmtId="166" fontId="50" fillId="9" borderId="0" xfId="0" applyFont="true" applyBorder="false" applyAlignment="true" applyProtection="false">
      <alignment horizontal="center" vertical="center" textRotation="0" wrapText="true" indent="0" shrinkToFit="false"/>
      <protection locked="true" hidden="false"/>
    </xf>
    <xf numFmtId="171" fontId="50" fillId="9" borderId="39" xfId="15" applyFont="true" applyBorder="true" applyAlignment="true" applyProtection="false">
      <alignment horizontal="center" vertical="center" textRotation="0" wrapText="true" indent="0" shrinkToFit="false"/>
      <protection locked="true" hidden="false"/>
    </xf>
    <xf numFmtId="171" fontId="50" fillId="9" borderId="40" xfId="15" applyFont="true" applyBorder="true" applyAlignment="true" applyProtection="false">
      <alignment horizontal="center" vertical="center" textRotation="0" wrapText="true" indent="0" shrinkToFit="false"/>
      <protection locked="true" hidden="false"/>
    </xf>
    <xf numFmtId="164" fontId="53" fillId="10" borderId="40" xfId="0" applyFont="true" applyBorder="true" applyAlignment="true" applyProtection="false">
      <alignment horizontal="general" vertical="center" textRotation="0" wrapText="true" indent="0" shrinkToFit="false"/>
      <protection locked="true" hidden="false"/>
    </xf>
    <xf numFmtId="164" fontId="45" fillId="10" borderId="40" xfId="0" applyFont="true" applyBorder="true" applyAlignment="true" applyProtection="false">
      <alignment horizontal="general" vertical="center" textRotation="0" wrapText="true" indent="0" shrinkToFit="false"/>
      <protection locked="true" hidden="false"/>
    </xf>
    <xf numFmtId="166" fontId="51" fillId="9" borderId="37" xfId="0" applyFont="true" applyBorder="true" applyAlignment="true" applyProtection="false">
      <alignment horizontal="left" vertical="center" textRotation="0" wrapText="true" indent="0" shrinkToFit="false"/>
      <protection locked="true" hidden="false"/>
    </xf>
    <xf numFmtId="171" fontId="51" fillId="9" borderId="41" xfId="15" applyFont="true" applyBorder="true" applyAlignment="true" applyProtection="false">
      <alignment horizontal="left" vertical="center" textRotation="0" wrapText="true" indent="0" shrinkToFit="false"/>
      <protection locked="true" hidden="false"/>
    </xf>
    <xf numFmtId="164" fontId="53" fillId="10" borderId="42" xfId="0" applyFont="true" applyBorder="true" applyAlignment="true" applyProtection="false">
      <alignment horizontal="center" vertical="center" textRotation="0" wrapText="true" indent="0" shrinkToFit="false"/>
      <protection locked="true" hidden="false"/>
    </xf>
    <xf numFmtId="164" fontId="53" fillId="10" borderId="43" xfId="0" applyFont="true" applyBorder="true" applyAlignment="true" applyProtection="false">
      <alignment horizontal="center" vertical="center" textRotation="0" wrapText="true" indent="0" shrinkToFit="false"/>
      <protection locked="true" hidden="false"/>
    </xf>
    <xf numFmtId="164" fontId="53" fillId="10" borderId="44" xfId="0" applyFont="true" applyBorder="true" applyAlignment="true" applyProtection="false">
      <alignment horizontal="center" vertical="center" textRotation="0" wrapText="true" indent="0" shrinkToFit="false"/>
      <protection locked="true" hidden="false"/>
    </xf>
    <xf numFmtId="168" fontId="58" fillId="9" borderId="45" xfId="0" applyFont="true" applyBorder="true" applyAlignment="true" applyProtection="false">
      <alignment horizontal="general" vertical="bottom" textRotation="0" wrapText="true" indent="0" shrinkToFit="false"/>
      <protection locked="true" hidden="false"/>
    </xf>
    <xf numFmtId="164" fontId="53" fillId="16" borderId="0" xfId="0" applyFont="true" applyBorder="true" applyAlignment="true" applyProtection="false">
      <alignment horizontal="right" vertical="center" textRotation="0" wrapText="true" indent="0" shrinkToFit="false"/>
      <protection locked="true" hidden="false"/>
    </xf>
    <xf numFmtId="171" fontId="51" fillId="9" borderId="22" xfId="15" applyFont="true" applyBorder="true" applyAlignment="true" applyProtection="false">
      <alignment horizontal="left" vertical="center" textRotation="0" wrapText="true" indent="0" shrinkToFit="false"/>
      <protection locked="true" hidden="false"/>
    </xf>
    <xf numFmtId="164" fontId="49" fillId="10" borderId="40" xfId="0" applyFont="true" applyBorder="true" applyAlignment="true" applyProtection="false">
      <alignment horizontal="center" vertical="center" textRotation="0" wrapText="true" indent="0" shrinkToFit="false"/>
      <protection locked="true" hidden="false"/>
    </xf>
    <xf numFmtId="165" fontId="51" fillId="15" borderId="40" xfId="0" applyFont="true" applyBorder="true" applyAlignment="true" applyProtection="false">
      <alignment horizontal="center" vertical="center" textRotation="90" wrapText="true" indent="0" shrinkToFit="false"/>
      <protection locked="true" hidden="false"/>
    </xf>
    <xf numFmtId="164" fontId="57" fillId="16" borderId="29" xfId="0" applyFont="true" applyBorder="true" applyAlignment="true" applyProtection="false">
      <alignment horizontal="center" vertical="center" textRotation="0" wrapText="true" indent="0" shrinkToFit="false"/>
      <protection locked="true" hidden="false"/>
    </xf>
    <xf numFmtId="164" fontId="57" fillId="16" borderId="30" xfId="0" applyFont="true" applyBorder="true" applyAlignment="true" applyProtection="false">
      <alignment horizontal="center" vertical="center" textRotation="0" wrapText="true" indent="0" shrinkToFit="false"/>
      <protection locked="true" hidden="false"/>
    </xf>
    <xf numFmtId="164" fontId="57" fillId="16" borderId="31" xfId="0" applyFont="true" applyBorder="true" applyAlignment="true" applyProtection="false">
      <alignment horizontal="center" vertical="center" textRotation="0" wrapText="true" indent="0" shrinkToFit="false"/>
      <protection locked="true" hidden="false"/>
    </xf>
    <xf numFmtId="164" fontId="45" fillId="10" borderId="46" xfId="0" applyFont="true" applyBorder="true" applyAlignment="true" applyProtection="false">
      <alignment horizontal="right" vertical="center" textRotation="0" wrapText="true" indent="0" shrinkToFit="false"/>
      <protection locked="true" hidden="false"/>
    </xf>
    <xf numFmtId="170" fontId="0" fillId="10" borderId="0" xfId="15" applyFont="false" applyBorder="false" applyAlignment="true" applyProtection="false">
      <alignment horizontal="general" vertical="center" textRotation="0" wrapText="true" indent="0" shrinkToFit="false"/>
      <protection locked="true" hidden="false"/>
    </xf>
    <xf numFmtId="164" fontId="53" fillId="16" borderId="46" xfId="0" applyFont="true" applyBorder="true" applyAlignment="true" applyProtection="false">
      <alignment horizontal="right" vertical="center" textRotation="0" wrapText="true" indent="0" shrinkToFit="false"/>
      <protection locked="true" hidden="false"/>
    </xf>
    <xf numFmtId="171" fontId="51" fillId="9" borderId="47" xfId="15" applyFont="true" applyBorder="true" applyAlignment="true" applyProtection="false">
      <alignment horizontal="left" vertical="center" textRotation="0" wrapText="true" indent="0" shrinkToFit="false"/>
      <protection locked="true" hidden="false"/>
    </xf>
    <xf numFmtId="164" fontId="45" fillId="9" borderId="18" xfId="0" applyFont="true" applyBorder="true" applyAlignment="true" applyProtection="false">
      <alignment horizontal="general" vertical="center" textRotation="0" wrapText="true" indent="0" shrinkToFit="false"/>
      <protection locked="true" hidden="false"/>
    </xf>
    <xf numFmtId="172" fontId="0" fillId="10" borderId="0" xfId="15" applyFont="false" applyBorder="false" applyAlignment="true" applyProtection="false">
      <alignment horizontal="center" vertical="center" textRotation="0" wrapText="true" indent="0" shrinkToFit="false"/>
      <protection locked="true" hidden="false"/>
    </xf>
    <xf numFmtId="164" fontId="45" fillId="10" borderId="46" xfId="0" applyFont="true" applyBorder="true" applyAlignment="true" applyProtection="false">
      <alignment horizontal="general" vertical="center" textRotation="0" wrapText="true" indent="0" shrinkToFit="false"/>
      <protection locked="true" hidden="false"/>
    </xf>
    <xf numFmtId="164" fontId="53" fillId="16" borderId="48" xfId="0" applyFont="true" applyBorder="true" applyAlignment="true" applyProtection="false">
      <alignment horizontal="center" vertical="center" textRotation="0" wrapText="true" indent="0" shrinkToFit="false"/>
      <protection locked="true" hidden="false"/>
    </xf>
    <xf numFmtId="166" fontId="51" fillId="9" borderId="49" xfId="0" applyFont="true" applyBorder="true" applyAlignment="true" applyProtection="false">
      <alignment horizontal="general" vertical="center" textRotation="0" wrapText="true" indent="0" shrinkToFit="false"/>
      <protection locked="true" hidden="false"/>
    </xf>
    <xf numFmtId="173" fontId="42" fillId="15" borderId="29" xfId="15" applyFont="true" applyBorder="true" applyAlignment="true" applyProtection="false">
      <alignment horizontal="center" vertical="center" textRotation="0" wrapText="true" indent="0" shrinkToFit="false"/>
      <protection locked="true" hidden="false"/>
    </xf>
    <xf numFmtId="173" fontId="42" fillId="15" borderId="30" xfId="15" applyFont="true" applyBorder="true" applyAlignment="true" applyProtection="false">
      <alignment horizontal="center" vertical="center" textRotation="0" wrapText="true" indent="0" shrinkToFit="false"/>
      <protection locked="true" hidden="false"/>
    </xf>
    <xf numFmtId="173" fontId="42" fillId="15" borderId="31" xfId="15" applyFont="true" applyBorder="true" applyAlignment="true" applyProtection="false">
      <alignment horizontal="center" vertical="center" textRotation="0" wrapText="true" indent="0" shrinkToFit="false"/>
      <protection locked="true" hidden="false"/>
    </xf>
    <xf numFmtId="168" fontId="46" fillId="9" borderId="19" xfId="0" applyFont="true" applyBorder="true" applyAlignment="true" applyProtection="false">
      <alignment horizontal="general" vertical="bottom" textRotation="0" wrapText="true" indent="0" shrinkToFit="false"/>
      <protection locked="true" hidden="false"/>
    </xf>
    <xf numFmtId="169" fontId="0" fillId="10" borderId="0" xfId="15" applyFont="false" applyBorder="false" applyAlignment="true" applyProtection="false">
      <alignment horizontal="center" vertical="center" textRotation="0" wrapText="true" indent="0" shrinkToFit="false"/>
      <protection locked="true" hidden="false"/>
    </xf>
    <xf numFmtId="171" fontId="51" fillId="9" borderId="50" xfId="15" applyFont="true" applyBorder="true" applyAlignment="true" applyProtection="false">
      <alignment horizontal="left" vertical="center" textRotation="0" wrapText="true" indent="0" shrinkToFit="false"/>
      <protection locked="true" hidden="false"/>
    </xf>
    <xf numFmtId="164" fontId="50" fillId="9" borderId="0" xfId="0" applyFont="true" applyBorder="false" applyAlignment="true" applyProtection="false">
      <alignment horizontal="center" vertical="center" textRotation="0" wrapText="true" indent="0" shrinkToFit="false"/>
      <protection locked="true" hidden="false"/>
    </xf>
    <xf numFmtId="164" fontId="43" fillId="0" borderId="39" xfId="0" applyFont="true" applyBorder="true" applyAlignment="true" applyProtection="false">
      <alignment horizontal="general" vertical="bottom" textRotation="0" wrapText="true" indent="0" shrinkToFit="false"/>
      <protection locked="true" hidden="false"/>
    </xf>
    <xf numFmtId="164" fontId="43" fillId="0" borderId="40" xfId="0" applyFont="true" applyBorder="true" applyAlignment="true" applyProtection="false">
      <alignment horizontal="general" vertical="bottom" textRotation="0" wrapText="true" indent="0" shrinkToFit="false"/>
      <protection locked="true" hidden="false"/>
    </xf>
    <xf numFmtId="164" fontId="53" fillId="16" borderId="51" xfId="0" applyFont="true" applyBorder="true" applyAlignment="true" applyProtection="false">
      <alignment horizontal="right" vertical="center" textRotation="0" wrapText="true" indent="0" shrinkToFit="false"/>
      <protection locked="true" hidden="false"/>
    </xf>
    <xf numFmtId="171" fontId="51" fillId="9" borderId="52" xfId="15" applyFont="true" applyBorder="true" applyAlignment="true" applyProtection="false">
      <alignment horizontal="left" vertical="center" textRotation="0" wrapText="true" indent="0" shrinkToFit="false"/>
      <protection locked="true" hidden="false"/>
    </xf>
    <xf numFmtId="165" fontId="59" fillId="10" borderId="42" xfId="0" applyFont="true" applyBorder="true" applyAlignment="true" applyProtection="false">
      <alignment horizontal="center" vertical="center" textRotation="0" wrapText="true" indent="0" shrinkToFit="false"/>
      <protection locked="true" hidden="false"/>
    </xf>
    <xf numFmtId="165" fontId="59" fillId="10" borderId="43" xfId="0" applyFont="true" applyBorder="true" applyAlignment="true" applyProtection="false">
      <alignment horizontal="center" vertical="center" textRotation="0" wrapText="true" indent="0" shrinkToFit="false"/>
      <protection locked="true" hidden="false"/>
    </xf>
    <xf numFmtId="165" fontId="59" fillId="10" borderId="44" xfId="0" applyFont="true" applyBorder="true" applyAlignment="true" applyProtection="false">
      <alignment horizontal="center" vertical="center" textRotation="0" wrapText="true" indent="0" shrinkToFit="false"/>
      <protection locked="true" hidden="false"/>
    </xf>
    <xf numFmtId="168" fontId="46" fillId="9" borderId="45" xfId="0" applyFont="true" applyBorder="true" applyAlignment="true" applyProtection="false">
      <alignment horizontal="general" vertical="bottom" textRotation="0" wrapText="true" indent="0" shrinkToFit="false"/>
      <protection locked="true" hidden="false"/>
    </xf>
    <xf numFmtId="171" fontId="50" fillId="9" borderId="18" xfId="15" applyFont="true" applyBorder="true" applyAlignment="true" applyProtection="false">
      <alignment horizontal="center" vertical="center" textRotation="0" wrapText="true" indent="0" shrinkToFit="false"/>
      <protection locked="true" hidden="false"/>
    </xf>
    <xf numFmtId="171" fontId="50" fillId="9" borderId="0" xfId="15" applyFont="true" applyBorder="false" applyAlignment="true" applyProtection="false">
      <alignment horizontal="center" vertical="center" textRotation="0" wrapText="true" indent="0" shrinkToFit="false"/>
      <protection locked="true" hidden="false"/>
    </xf>
    <xf numFmtId="171" fontId="51" fillId="9" borderId="49" xfId="15" applyFont="true" applyBorder="true" applyAlignment="true" applyProtection="false">
      <alignment horizontal="general" vertical="center" textRotation="0" wrapText="true" indent="0" shrinkToFit="false"/>
      <protection locked="true" hidden="false"/>
    </xf>
    <xf numFmtId="164" fontId="57" fillId="10" borderId="29" xfId="0" applyFont="true" applyBorder="true" applyAlignment="true" applyProtection="false">
      <alignment horizontal="center" vertical="center" textRotation="0" wrapText="true" indent="0" shrinkToFit="false"/>
      <protection locked="true" hidden="false"/>
    </xf>
    <xf numFmtId="164" fontId="57" fillId="10" borderId="30" xfId="0" applyFont="true" applyBorder="true" applyAlignment="true" applyProtection="false">
      <alignment horizontal="center" vertical="center" textRotation="0" wrapText="true" indent="0" shrinkToFit="false"/>
      <protection locked="true" hidden="false"/>
    </xf>
    <xf numFmtId="171" fontId="51" fillId="9" borderId="53" xfId="15" applyFont="true" applyBorder="true" applyAlignment="true" applyProtection="false">
      <alignment horizontal="general" vertical="center" textRotation="0" wrapText="true" indent="0" shrinkToFit="false"/>
      <protection locked="true" hidden="false"/>
    </xf>
    <xf numFmtId="164" fontId="53" fillId="10" borderId="46" xfId="0" applyFont="true" applyBorder="true" applyAlignment="true" applyProtection="false">
      <alignment horizontal="right" vertical="center" textRotation="0" wrapText="true" indent="0" shrinkToFit="false"/>
      <protection locked="true" hidden="false"/>
    </xf>
    <xf numFmtId="166" fontId="51" fillId="9" borderId="54" xfId="0" applyFont="true" applyBorder="true" applyAlignment="true" applyProtection="false">
      <alignment horizontal="general" vertical="center" textRotation="0" wrapText="true" indent="0" shrinkToFit="false"/>
      <protection locked="true" hidden="false"/>
    </xf>
    <xf numFmtId="167" fontId="51" fillId="9" borderId="55" xfId="19" applyFont="true" applyBorder="true" applyAlignment="true" applyProtection="false">
      <alignment horizontal="general" vertical="center" textRotation="0" wrapText="true" indent="0" shrinkToFit="false"/>
      <protection locked="true" hidden="false"/>
    </xf>
    <xf numFmtId="166" fontId="51" fillId="9" borderId="56" xfId="0" applyFont="true" applyBorder="true" applyAlignment="true" applyProtection="false">
      <alignment horizontal="general" vertical="center" textRotation="0" wrapText="true" indent="0" shrinkToFit="false"/>
      <protection locked="true" hidden="false"/>
    </xf>
    <xf numFmtId="167" fontId="51" fillId="9" borderId="48" xfId="19" applyFont="true" applyBorder="true" applyAlignment="true" applyProtection="false">
      <alignment horizontal="general" vertical="center" textRotation="0" wrapText="true" indent="0" shrinkToFit="false"/>
      <protection locked="true" hidden="false"/>
    </xf>
    <xf numFmtId="166" fontId="51" fillId="9" borderId="57" xfId="0" applyFont="true" applyBorder="true" applyAlignment="true" applyProtection="false">
      <alignment horizontal="general" vertical="center" textRotation="0" wrapText="true" indent="0" shrinkToFit="false"/>
      <protection locked="true" hidden="false"/>
    </xf>
    <xf numFmtId="167" fontId="51" fillId="9" borderId="58" xfId="19" applyFont="true" applyBorder="true" applyAlignment="true" applyProtection="false">
      <alignment horizontal="general" vertical="center" textRotation="0" wrapText="true" indent="0" shrinkToFit="false"/>
      <protection locked="true" hidden="false"/>
    </xf>
    <xf numFmtId="171" fontId="51" fillId="9" borderId="59" xfId="15" applyFont="true" applyBorder="true" applyAlignment="true" applyProtection="false">
      <alignment horizontal="general" vertical="center" textRotation="0" wrapText="true" indent="0" shrinkToFit="false"/>
      <protection locked="true" hidden="false"/>
    </xf>
    <xf numFmtId="164" fontId="53" fillId="16" borderId="40" xfId="0" applyFont="true" applyBorder="true" applyAlignment="true" applyProtection="false">
      <alignment horizontal="right" vertical="center" textRotation="0" wrapText="true" indent="0" shrinkToFit="false"/>
      <protection locked="true" hidden="false"/>
    </xf>
    <xf numFmtId="167" fontId="51" fillId="9" borderId="52" xfId="19" applyFont="true" applyBorder="true" applyAlignment="true" applyProtection="false">
      <alignment horizontal="right" vertical="center" textRotation="0" wrapText="true" indent="0" shrinkToFit="false"/>
      <protection locked="true" hidden="false"/>
    </xf>
    <xf numFmtId="164" fontId="53" fillId="16" borderId="60" xfId="0" applyFont="true" applyBorder="true" applyAlignment="true" applyProtection="false">
      <alignment horizontal="right" vertical="center" textRotation="0" wrapText="true" indent="0" shrinkToFit="false"/>
      <protection locked="true" hidden="false"/>
    </xf>
    <xf numFmtId="166" fontId="51" fillId="9" borderId="61" xfId="0" applyFont="true" applyBorder="true" applyAlignment="true" applyProtection="false">
      <alignment horizontal="general" vertical="center" textRotation="0" wrapText="true" indent="0" shrinkToFit="false"/>
      <protection locked="true" hidden="false"/>
    </xf>
    <xf numFmtId="164" fontId="57" fillId="10" borderId="24" xfId="0" applyFont="true" applyBorder="true" applyAlignment="true" applyProtection="false">
      <alignment horizontal="center" vertical="center" textRotation="0" wrapText="true" indent="0" shrinkToFit="false"/>
      <protection locked="true" hidden="false"/>
    </xf>
    <xf numFmtId="164" fontId="57" fillId="10" borderId="25" xfId="0" applyFont="true" applyBorder="true" applyAlignment="true" applyProtection="false">
      <alignment horizontal="center" vertical="center" textRotation="0" wrapText="true" indent="0" shrinkToFit="false"/>
      <protection locked="true" hidden="false"/>
    </xf>
    <xf numFmtId="166" fontId="60" fillId="9" borderId="0" xfId="0" applyFont="true" applyBorder="false" applyAlignment="true" applyProtection="false">
      <alignment horizontal="left" vertical="center" textRotation="0" wrapText="true" indent="0" shrinkToFit="false"/>
      <protection locked="true" hidden="false"/>
    </xf>
    <xf numFmtId="164" fontId="53" fillId="10" borderId="0" xfId="0" applyFont="true" applyBorder="false" applyAlignment="true" applyProtection="false">
      <alignment horizontal="center" vertical="center" textRotation="0" wrapText="true" indent="0" shrinkToFit="false"/>
      <protection locked="true" hidden="false"/>
    </xf>
    <xf numFmtId="164" fontId="53" fillId="16" borderId="0" xfId="0" applyFont="true" applyBorder="false" applyAlignment="true" applyProtection="false">
      <alignment horizontal="right" vertical="center" textRotation="0" wrapText="true" indent="0" shrinkToFit="false"/>
      <protection locked="true" hidden="false"/>
    </xf>
    <xf numFmtId="166" fontId="51" fillId="9" borderId="32" xfId="0" applyFont="true" applyBorder="true" applyAlignment="true" applyProtection="false">
      <alignment horizontal="general" vertical="center" textRotation="0" wrapText="true" indent="0" shrinkToFit="false"/>
      <protection locked="true" hidden="false"/>
    </xf>
    <xf numFmtId="166" fontId="51" fillId="9" borderId="34" xfId="0" applyFont="true" applyBorder="true" applyAlignment="true" applyProtection="false">
      <alignment horizontal="general" vertical="center" textRotation="0" wrapText="true" indent="0" shrinkToFit="false"/>
      <protection locked="true" hidden="false"/>
    </xf>
    <xf numFmtId="167" fontId="51" fillId="9" borderId="62" xfId="19" applyFont="true" applyBorder="true" applyAlignment="true" applyProtection="false">
      <alignment horizontal="general" vertical="center" textRotation="0" wrapText="true" indent="0" shrinkToFit="false"/>
      <protection locked="true" hidden="false"/>
    </xf>
    <xf numFmtId="166" fontId="51" fillId="9" borderId="35" xfId="0" applyFont="true" applyBorder="true" applyAlignment="true" applyProtection="false">
      <alignment horizontal="general" vertical="center" textRotation="0" wrapText="true" indent="0" shrinkToFit="false"/>
      <protection locked="true" hidden="false"/>
    </xf>
    <xf numFmtId="166" fontId="51" fillId="9" borderId="36" xfId="0" applyFont="true" applyBorder="true" applyAlignment="true" applyProtection="false">
      <alignment horizontal="general" vertical="center" textRotation="0" wrapText="true" indent="0" shrinkToFit="false"/>
      <protection locked="true" hidden="false"/>
    </xf>
    <xf numFmtId="167" fontId="51" fillId="9" borderId="49" xfId="19" applyFont="true" applyBorder="true" applyAlignment="true" applyProtection="false">
      <alignment horizontal="general" vertical="center" textRotation="0" wrapText="true" indent="0" shrinkToFit="false"/>
      <protection locked="true" hidden="false"/>
    </xf>
    <xf numFmtId="164" fontId="53" fillId="9" borderId="0" xfId="0" applyFont="true" applyBorder="false" applyAlignment="true" applyProtection="false">
      <alignment horizontal="general" vertical="center" textRotation="0" wrapText="true" indent="0" shrinkToFit="false"/>
      <protection locked="true" hidden="false"/>
    </xf>
    <xf numFmtId="164" fontId="53" fillId="9" borderId="39" xfId="0" applyFont="true" applyBorder="true" applyAlignment="true" applyProtection="false">
      <alignment horizontal="general" vertical="center" textRotation="0" wrapText="true" indent="0" shrinkToFit="false"/>
      <protection locked="true" hidden="false"/>
    </xf>
    <xf numFmtId="164" fontId="53" fillId="9" borderId="40" xfId="0" applyFont="true" applyBorder="true" applyAlignment="true" applyProtection="false">
      <alignment horizontal="general" vertical="center" textRotation="0" wrapText="true" indent="0" shrinkToFit="false"/>
      <protection locked="true" hidden="false"/>
    </xf>
    <xf numFmtId="166" fontId="51" fillId="9" borderId="37" xfId="0" applyFont="true" applyBorder="true" applyAlignment="true" applyProtection="false">
      <alignment horizontal="general" vertical="center" textRotation="0" wrapText="true" indent="0" shrinkToFit="false"/>
      <protection locked="true" hidden="false"/>
    </xf>
    <xf numFmtId="166" fontId="51" fillId="9" borderId="41" xfId="0" applyFont="true" applyBorder="true" applyAlignment="true" applyProtection="false">
      <alignment horizontal="general" vertical="center" textRotation="0" wrapText="true" indent="0" shrinkToFit="false"/>
      <protection locked="true" hidden="false"/>
    </xf>
    <xf numFmtId="167" fontId="51" fillId="9" borderId="61" xfId="19" applyFont="true" applyBorder="true" applyAlignment="true" applyProtection="false">
      <alignment horizontal="general" vertical="center" textRotation="0" wrapText="true" indent="0" shrinkToFit="false"/>
      <protection locked="true" hidden="false"/>
    </xf>
    <xf numFmtId="165" fontId="61" fillId="9" borderId="0" xfId="0" applyFont="true" applyBorder="false" applyAlignment="true" applyProtection="false">
      <alignment horizontal="general" vertical="bottom" textRotation="0" wrapText="true" indent="0" shrinkToFit="false"/>
      <protection locked="true" hidden="false"/>
    </xf>
    <xf numFmtId="164" fontId="53" fillId="9" borderId="18" xfId="0" applyFont="true" applyBorder="true" applyAlignment="true" applyProtection="false">
      <alignment horizontal="general" vertical="center" textRotation="0" wrapText="true" indent="0" shrinkToFit="false"/>
      <protection locked="true" hidden="false"/>
    </xf>
    <xf numFmtId="164" fontId="51" fillId="15" borderId="40" xfId="0" applyFont="true" applyBorder="true" applyAlignment="true" applyProtection="false">
      <alignment horizontal="center" vertical="center" textRotation="90" wrapText="true" indent="0" shrinkToFit="false"/>
      <protection locked="true" hidden="false"/>
    </xf>
    <xf numFmtId="168" fontId="43" fillId="15" borderId="42" xfId="0" applyFont="true" applyBorder="true" applyAlignment="true" applyProtection="false">
      <alignment horizontal="center" vertical="center" textRotation="0" wrapText="true" indent="0" shrinkToFit="false"/>
      <protection locked="true" hidden="false"/>
    </xf>
    <xf numFmtId="168" fontId="43" fillId="15" borderId="43" xfId="0" applyFont="true" applyBorder="true" applyAlignment="true" applyProtection="false">
      <alignment horizontal="center" vertical="center" textRotation="0" wrapText="true" indent="0" shrinkToFit="false"/>
      <protection locked="true" hidden="false"/>
    </xf>
    <xf numFmtId="168" fontId="43" fillId="15" borderId="44" xfId="0" applyFont="true" applyBorder="true" applyAlignment="true" applyProtection="false">
      <alignment horizontal="center" vertical="center" textRotation="0" wrapText="true" indent="0" shrinkToFit="false"/>
      <protection locked="true" hidden="false"/>
    </xf>
    <xf numFmtId="165" fontId="61" fillId="9" borderId="0" xfId="0" applyFont="true" applyBorder="false" applyAlignment="true" applyProtection="false">
      <alignment horizontal="center" vertical="bottom" textRotation="0" wrapText="true" indent="0" shrinkToFit="false"/>
      <protection locked="true" hidden="false"/>
    </xf>
    <xf numFmtId="164" fontId="53" fillId="10" borderId="0" xfId="0" applyFont="true" applyBorder="true" applyAlignment="true" applyProtection="false">
      <alignment horizontal="center" vertical="center" textRotation="90" wrapText="true" indent="0" shrinkToFit="false"/>
      <protection locked="true" hidden="false"/>
    </xf>
    <xf numFmtId="164" fontId="53" fillId="10" borderId="0" xfId="0" applyFont="true" applyBorder="false" applyAlignment="true" applyProtection="false">
      <alignment horizontal="center" vertical="center" textRotation="90" wrapText="true" indent="0" shrinkToFit="false"/>
      <protection locked="true" hidden="false"/>
    </xf>
    <xf numFmtId="164" fontId="53" fillId="10" borderId="0" xfId="0" applyFont="true" applyBorder="false" applyAlignment="true" applyProtection="false">
      <alignment horizontal="left" vertical="center" textRotation="0" wrapText="true" indent="0" shrinkToFit="false"/>
      <protection locked="true" hidden="false"/>
    </xf>
    <xf numFmtId="164" fontId="54" fillId="10" borderId="0" xfId="0" applyFont="true" applyBorder="false" applyAlignment="true" applyProtection="false">
      <alignment horizontal="left" vertical="center" textRotation="0" wrapText="true" indent="0" shrinkToFit="false"/>
      <protection locked="true" hidden="false"/>
    </xf>
    <xf numFmtId="164" fontId="53" fillId="10" borderId="0" xfId="0" applyFont="true" applyBorder="false" applyAlignment="true" applyProtection="false">
      <alignment horizontal="right" vertical="center" textRotation="0" wrapText="true" indent="0" shrinkToFit="false"/>
      <protection locked="true" hidden="false"/>
    </xf>
    <xf numFmtId="168" fontId="53" fillId="10" borderId="0" xfId="0" applyFont="true" applyBorder="false" applyAlignment="true" applyProtection="false">
      <alignment horizontal="right" vertical="center" textRotation="0" wrapText="true" indent="0" shrinkToFit="false"/>
      <protection locked="true" hidden="false"/>
    </xf>
    <xf numFmtId="165" fontId="53" fillId="10" borderId="0" xfId="0" applyFont="true" applyBorder="true" applyAlignment="true" applyProtection="false">
      <alignment horizontal="center" vertical="center" textRotation="0" wrapText="true" indent="0" shrinkToFit="false"/>
      <protection locked="true" hidden="false"/>
    </xf>
    <xf numFmtId="168" fontId="43" fillId="9" borderId="0" xfId="0" applyFont="true" applyBorder="false" applyAlignment="true" applyProtection="false">
      <alignment horizontal="center" vertical="center" textRotation="0" wrapText="true" indent="0" shrinkToFit="false"/>
      <protection locked="true" hidden="false"/>
    </xf>
    <xf numFmtId="168" fontId="46" fillId="9" borderId="19" xfId="0" applyFont="true" applyBorder="true" applyAlignment="true" applyProtection="false">
      <alignment horizontal="center" vertical="center" textRotation="0" wrapText="true" indent="0" shrinkToFit="false"/>
      <protection locked="true" hidden="false"/>
    </xf>
    <xf numFmtId="164" fontId="54" fillId="10" borderId="0" xfId="0" applyFont="true" applyBorder="false" applyAlignment="true" applyProtection="false">
      <alignment horizontal="general" vertical="center" textRotation="0" wrapText="true" indent="0" shrinkToFit="false"/>
      <protection locked="true" hidden="false"/>
    </xf>
    <xf numFmtId="164" fontId="43" fillId="9" borderId="40" xfId="0" applyFont="true" applyBorder="true" applyAlignment="true" applyProtection="false">
      <alignment horizontal="general" vertical="bottom" textRotation="0" wrapText="true" indent="0" shrinkToFit="false"/>
      <protection locked="true" hidden="false"/>
    </xf>
    <xf numFmtId="168" fontId="46" fillId="9" borderId="40" xfId="0" applyFont="true" applyBorder="true" applyAlignment="true" applyProtection="false">
      <alignment horizontal="center" vertical="center" textRotation="0" wrapText="true" indent="0" shrinkToFit="false"/>
      <protection locked="true" hidden="false"/>
    </xf>
    <xf numFmtId="168" fontId="46" fillId="9" borderId="45" xfId="0" applyFont="true" applyBorder="true" applyAlignment="true" applyProtection="false">
      <alignment horizontal="center" vertical="center" textRotation="0" wrapText="true" indent="0" shrinkToFit="false"/>
      <protection locked="true" hidden="false"/>
    </xf>
    <xf numFmtId="164" fontId="44" fillId="0" borderId="17" xfId="0" applyFont="true" applyBorder="true" applyAlignment="true" applyProtection="false">
      <alignment horizontal="center" vertical="bottom" textRotation="0" wrapText="true" indent="0" shrinkToFit="false"/>
      <protection locked="true" hidden="false"/>
    </xf>
    <xf numFmtId="174" fontId="53" fillId="10" borderId="0" xfId="0" applyFont="true" applyBorder="false" applyAlignment="true" applyProtection="false">
      <alignment horizontal="left" vertical="center" textRotation="0" wrapText="true" indent="0" shrinkToFit="false"/>
      <protection locked="true" hidden="false"/>
    </xf>
    <xf numFmtId="169" fontId="43" fillId="9" borderId="0" xfId="0" applyFont="true" applyBorder="false" applyAlignment="true" applyProtection="false">
      <alignment horizontal="center" vertical="center" textRotation="0" wrapText="true" indent="0" shrinkToFit="false"/>
      <protection locked="true" hidden="false"/>
    </xf>
    <xf numFmtId="164" fontId="62" fillId="10" borderId="0" xfId="0" applyFont="true" applyBorder="false" applyAlignment="true" applyProtection="false">
      <alignment horizontal="general" vertical="center" textRotation="0" wrapText="true" indent="0" shrinkToFit="false"/>
      <protection locked="true" hidden="false"/>
    </xf>
    <xf numFmtId="164" fontId="43" fillId="9" borderId="0" xfId="0" applyFont="true" applyBorder="false" applyAlignment="true" applyProtection="false">
      <alignment horizontal="left" vertical="bottom" textRotation="0" wrapText="true" indent="0" shrinkToFit="false"/>
      <protection locked="true" hidden="false"/>
    </xf>
    <xf numFmtId="164" fontId="63" fillId="9" borderId="0" xfId="0" applyFont="true" applyBorder="false" applyAlignment="true" applyProtection="false">
      <alignment horizontal="left" vertical="center" textRotation="0" wrapText="false" indent="0" shrinkToFit="false"/>
      <protection locked="true" hidden="false"/>
    </xf>
    <xf numFmtId="164" fontId="14" fillId="9" borderId="0" xfId="0" applyFont="true" applyBorder="false" applyAlignment="true" applyProtection="false">
      <alignment horizontal="left" vertical="center" textRotation="0" wrapText="false" indent="2" shrinkToFit="false"/>
      <protection locked="true" hidden="false"/>
    </xf>
    <xf numFmtId="165" fontId="64" fillId="9" borderId="0" xfId="0" applyFont="true" applyBorder="true" applyAlignment="true" applyProtection="false">
      <alignment horizontal="right" vertical="center" textRotation="0" wrapText="false" indent="0" shrinkToFit="false"/>
      <protection locked="true" hidden="false"/>
    </xf>
    <xf numFmtId="165" fontId="65" fillId="9" borderId="0" xfId="0" applyFont="true" applyBorder="true" applyAlignment="true" applyProtection="false">
      <alignment horizontal="left" vertical="top" textRotation="0" wrapText="false" indent="0" shrinkToFit="false"/>
      <protection locked="true" hidden="false"/>
    </xf>
    <xf numFmtId="164" fontId="26" fillId="9" borderId="0" xfId="0" applyFont="true" applyBorder="false" applyAlignment="true" applyProtection="false">
      <alignment horizontal="left" vertical="bottom" textRotation="0" wrapText="false" indent="2" shrinkToFit="false"/>
      <protection locked="true" hidden="false"/>
    </xf>
    <xf numFmtId="168" fontId="27" fillId="9" borderId="11" xfId="0" applyFont="true" applyBorder="true" applyAlignment="true" applyProtection="false">
      <alignment horizontal="general" vertical="center" textRotation="0" wrapText="false" indent="0" shrinkToFit="false"/>
      <protection locked="true" hidden="false"/>
    </xf>
    <xf numFmtId="165" fontId="17" fillId="9" borderId="63" xfId="0" applyFont="true" applyBorder="true" applyAlignment="true" applyProtection="false">
      <alignment horizontal="right" vertical="center" textRotation="0" wrapText="false" indent="0" shrinkToFit="false"/>
      <protection locked="true" hidden="false"/>
    </xf>
    <xf numFmtId="168" fontId="17" fillId="9" borderId="4" xfId="0" applyFont="true" applyBorder="true" applyAlignment="true" applyProtection="false">
      <alignment horizontal="right" vertical="center" textRotation="0" wrapText="false" indent="0" shrinkToFit="false"/>
      <protection locked="true" hidden="false"/>
    </xf>
    <xf numFmtId="168" fontId="17" fillId="9" borderId="64" xfId="0" applyFont="true" applyBorder="true" applyAlignment="true" applyProtection="false">
      <alignment horizontal="left" vertical="center" textRotation="0" wrapText="false" indent="0" shrinkToFit="false"/>
      <protection locked="true" hidden="false"/>
    </xf>
    <xf numFmtId="165" fontId="19" fillId="9" borderId="11" xfId="0" applyFont="true" applyBorder="true" applyAlignment="true" applyProtection="false">
      <alignment horizontal="left" vertical="top" textRotation="0" wrapText="true" indent="0" shrinkToFit="false"/>
      <protection locked="true" hidden="false"/>
    </xf>
    <xf numFmtId="164" fontId="32" fillId="9" borderId="4" xfId="0" applyFont="true" applyBorder="true" applyAlignment="true" applyProtection="false">
      <alignment horizontal="right" vertical="top" textRotation="0" wrapText="false" indent="0" shrinkToFit="false"/>
      <protection locked="true" hidden="false"/>
    </xf>
    <xf numFmtId="165" fontId="66" fillId="14" borderId="65" xfId="0" applyFont="true" applyBorder="true" applyAlignment="true" applyProtection="false">
      <alignment horizontal="right" vertical="center" textRotation="0" wrapText="true" indent="1" shrinkToFit="false"/>
      <protection locked="true" hidden="false"/>
    </xf>
    <xf numFmtId="165" fontId="67" fillId="14" borderId="12" xfId="0" applyFont="true" applyBorder="true" applyAlignment="true" applyProtection="false">
      <alignment horizontal="center" vertical="center" textRotation="0" wrapText="true" indent="0" shrinkToFit="false"/>
      <protection locked="true" hidden="false"/>
    </xf>
    <xf numFmtId="165" fontId="67" fillId="14" borderId="66" xfId="0" applyFont="true" applyBorder="true" applyAlignment="true" applyProtection="false">
      <alignment horizontal="center" vertical="center" textRotation="0" wrapText="true" indent="0" shrinkToFit="false"/>
      <protection locked="true" hidden="false"/>
    </xf>
    <xf numFmtId="165" fontId="67" fillId="10" borderId="67" xfId="0" applyFont="true" applyBorder="true" applyAlignment="true" applyProtection="false">
      <alignment horizontal="center" vertical="center" textRotation="0" wrapText="true" indent="0" shrinkToFit="false"/>
      <protection locked="true" hidden="false"/>
    </xf>
    <xf numFmtId="165" fontId="68" fillId="9" borderId="67" xfId="32" applyFont="true" applyBorder="true" applyAlignment="true" applyProtection="false">
      <alignment horizontal="left" vertical="center" textRotation="0" wrapText="true" indent="1" shrinkToFit="false"/>
      <protection locked="true" hidden="false"/>
    </xf>
    <xf numFmtId="168" fontId="68" fillId="10" borderId="68" xfId="0" applyFont="true" applyBorder="true" applyAlignment="true" applyProtection="false">
      <alignment horizontal="right" vertical="center" textRotation="0" wrapText="false" indent="0" shrinkToFit="false"/>
      <protection locked="true" hidden="false"/>
    </xf>
    <xf numFmtId="165" fontId="68" fillId="10" borderId="11" xfId="0" applyFont="true" applyBorder="true" applyAlignment="true" applyProtection="false">
      <alignment horizontal="center" vertical="center" textRotation="0" wrapText="false" indent="0" shrinkToFit="false"/>
      <protection locked="true" hidden="false"/>
    </xf>
    <xf numFmtId="168" fontId="68" fillId="10" borderId="11" xfId="0" applyFont="true" applyBorder="true" applyAlignment="true" applyProtection="false">
      <alignment horizontal="left" vertical="center" textRotation="0" wrapText="false" indent="0" shrinkToFit="false"/>
      <protection locked="true" hidden="false"/>
    </xf>
    <xf numFmtId="167" fontId="63" fillId="10" borderId="69" xfId="0" applyFont="true" applyBorder="true" applyAlignment="true" applyProtection="false">
      <alignment horizontal="center" vertical="center" textRotation="0" wrapText="false" indent="0" shrinkToFit="false"/>
      <protection locked="true" hidden="false"/>
    </xf>
    <xf numFmtId="165" fontId="67" fillId="10" borderId="70" xfId="0" applyFont="true" applyBorder="true" applyAlignment="true" applyProtection="false">
      <alignment horizontal="center" vertical="center" textRotation="0" wrapText="true" indent="0" shrinkToFit="false"/>
      <protection locked="true" hidden="false"/>
    </xf>
    <xf numFmtId="165" fontId="67" fillId="10" borderId="66" xfId="0" applyFont="true" applyBorder="true" applyAlignment="true" applyProtection="false">
      <alignment horizontal="center" vertical="center" textRotation="0" wrapText="true" indent="0" shrinkToFit="false"/>
      <protection locked="true" hidden="false"/>
    </xf>
    <xf numFmtId="165" fontId="24"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64" fontId="0" fillId="9" borderId="0" xfId="0" applyFont="false" applyBorder="fals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left" vertical="center" textRotation="0" wrapText="false" indent="0" shrinkToFit="false"/>
      <protection locked="true" hidden="false"/>
    </xf>
    <xf numFmtId="167" fontId="0" fillId="9" borderId="0" xfId="0" applyFont="false" applyBorder="false" applyAlignment="true" applyProtection="false">
      <alignment horizontal="center" vertical="center" textRotation="0" wrapText="false" indent="0" shrinkToFit="false"/>
      <protection locked="true" hidden="false"/>
    </xf>
    <xf numFmtId="165" fontId="17" fillId="9" borderId="0" xfId="0" applyFont="true" applyBorder="true" applyAlignment="true" applyProtection="false">
      <alignment horizontal="left" vertical="center" textRotation="0" wrapText="false" indent="7" shrinkToFit="false"/>
      <protection locked="true" hidden="false"/>
    </xf>
    <xf numFmtId="165" fontId="16" fillId="9" borderId="0" xfId="0" applyFont="true" applyBorder="true" applyAlignment="true" applyProtection="false">
      <alignment horizontal="left" vertical="bottom" textRotation="0" wrapText="false" indent="7" shrinkToFit="false"/>
      <protection locked="true" hidden="false"/>
    </xf>
    <xf numFmtId="164" fontId="69" fillId="9" borderId="0" xfId="0" applyFont="true" applyBorder="false" applyAlignment="true" applyProtection="false">
      <alignment horizontal="left" vertical="center" textRotation="0" wrapText="false" indent="0" shrinkToFit="false"/>
      <protection locked="true" hidden="false"/>
    </xf>
    <xf numFmtId="168" fontId="69" fillId="9" borderId="0" xfId="0" applyFont="true" applyBorder="false" applyAlignment="true" applyProtection="false">
      <alignment horizontal="center" vertical="center" textRotation="0" wrapText="false" indent="0" shrinkToFit="false"/>
      <protection locked="true" hidden="false"/>
    </xf>
    <xf numFmtId="164" fontId="70" fillId="9" borderId="0" xfId="0" applyFont="true" applyBorder="false" applyAlignment="true" applyProtection="false">
      <alignment horizontal="general" vertical="center" textRotation="0" wrapText="false" indent="0" shrinkToFit="false"/>
      <protection locked="true" hidden="false"/>
    </xf>
    <xf numFmtId="164" fontId="69" fillId="9" borderId="0" xfId="0" applyFont="true" applyBorder="true" applyAlignment="true" applyProtection="false">
      <alignment horizontal="left" vertical="center" textRotation="0" wrapText="false" indent="0" shrinkToFit="false"/>
      <protection locked="true" hidden="false"/>
    </xf>
    <xf numFmtId="164" fontId="0" fillId="9" borderId="0" xfId="0" applyFont="false" applyBorder="true" applyAlignment="true" applyProtection="false">
      <alignment horizontal="left" vertical="top" textRotation="0" wrapText="true" indent="0" shrinkToFit="false"/>
      <protection locked="true" hidden="false"/>
    </xf>
    <xf numFmtId="168" fontId="25" fillId="10" borderId="1" xfId="0" applyFont="true" applyBorder="true" applyAlignment="true" applyProtection="false">
      <alignment horizontal="left" vertical="center" textRotation="0" wrapText="false" indent="1" shrinkToFit="false"/>
      <protection locked="true" hidden="false"/>
    </xf>
    <xf numFmtId="168" fontId="19" fillId="9" borderId="71" xfId="0" applyFont="true" applyBorder="true" applyAlignment="true" applyProtection="false">
      <alignment horizontal="left" vertical="center" textRotation="0" wrapText="false" indent="1" shrinkToFit="false"/>
      <protection locked="true" hidden="false"/>
    </xf>
    <xf numFmtId="169" fontId="19" fillId="9" borderId="72" xfId="0" applyFont="true" applyBorder="true" applyAlignment="true" applyProtection="false">
      <alignment horizontal="right" vertical="center" textRotation="0" wrapText="false" indent="0" shrinkToFit="false"/>
      <protection locked="true" hidden="false"/>
    </xf>
    <xf numFmtId="165" fontId="19" fillId="9" borderId="72" xfId="0" applyFont="true" applyBorder="true" applyAlignment="true" applyProtection="false">
      <alignment horizontal="center" vertical="center" textRotation="0" wrapText="false" indent="0" shrinkToFit="false"/>
      <protection locked="true" hidden="false"/>
    </xf>
    <xf numFmtId="168" fontId="19" fillId="9" borderId="72" xfId="0" applyFont="true" applyBorder="true" applyAlignment="true" applyProtection="false">
      <alignment horizontal="left" vertical="center" textRotation="0" wrapText="false" indent="0" shrinkToFit="false"/>
      <protection locked="true" hidden="false"/>
    </xf>
    <xf numFmtId="167" fontId="17" fillId="9" borderId="73" xfId="0" applyFont="true" applyBorder="true" applyAlignment="true" applyProtection="false">
      <alignment horizontal="right" vertical="center" textRotation="0" wrapText="false" indent="1" shrinkToFit="false"/>
      <protection locked="true" hidden="false"/>
    </xf>
    <xf numFmtId="167" fontId="71" fillId="0" borderId="0" xfId="19" applyFont="true" applyBorder="false" applyAlignment="true" applyProtection="false">
      <alignment horizontal="general" vertical="center" textRotation="0" wrapText="false" indent="0" shrinkToFit="false"/>
      <protection locked="true" hidden="false"/>
    </xf>
    <xf numFmtId="168" fontId="25" fillId="10" borderId="71" xfId="0" applyFont="true" applyBorder="true" applyAlignment="true" applyProtection="false">
      <alignment horizontal="left" vertical="center" textRotation="0" wrapText="false" indent="1" shrinkToFit="false"/>
      <protection locked="true" hidden="false"/>
    </xf>
    <xf numFmtId="168" fontId="25" fillId="10" borderId="72" xfId="0" applyFont="true" applyBorder="true" applyAlignment="true" applyProtection="false">
      <alignment horizontal="right" vertical="center" textRotation="0" wrapText="false" indent="0" shrinkToFit="false"/>
      <protection locked="true" hidden="false"/>
    </xf>
    <xf numFmtId="165" fontId="25" fillId="10" borderId="72" xfId="0" applyFont="true" applyBorder="true" applyAlignment="true" applyProtection="false">
      <alignment horizontal="center" vertical="center" textRotation="0" wrapText="false" indent="0" shrinkToFit="false"/>
      <protection locked="true" hidden="false"/>
    </xf>
    <xf numFmtId="168" fontId="25" fillId="10" borderId="72" xfId="0" applyFont="true" applyBorder="true" applyAlignment="true" applyProtection="false">
      <alignment horizontal="left" vertical="center" textRotation="0" wrapText="false" indent="0" shrinkToFit="false"/>
      <protection locked="true" hidden="false"/>
    </xf>
    <xf numFmtId="167" fontId="25" fillId="10" borderId="73" xfId="0" applyFont="true" applyBorder="true" applyAlignment="true" applyProtection="false">
      <alignment horizontal="right" vertical="center" textRotation="0" wrapText="false" indent="1" shrinkToFit="false"/>
      <protection locked="true" hidden="false"/>
    </xf>
    <xf numFmtId="167" fontId="17" fillId="9" borderId="73" xfId="0" applyFont="true" applyBorder="true" applyAlignment="true" applyProtection="false">
      <alignment horizontal="center" vertical="center" textRotation="0" wrapText="false" indent="0" shrinkToFit="false"/>
      <protection locked="true" hidden="false"/>
    </xf>
    <xf numFmtId="168" fontId="0" fillId="0" borderId="0" xfId="0" applyFont="false" applyBorder="false" applyAlignment="true" applyProtection="false">
      <alignment horizontal="general" vertical="center" textRotation="0" wrapText="false" indent="0" shrinkToFit="false"/>
      <protection locked="true" hidden="false"/>
    </xf>
    <xf numFmtId="165" fontId="19" fillId="10" borderId="72" xfId="0" applyFont="true" applyBorder="true" applyAlignment="true" applyProtection="false">
      <alignment horizontal="center" vertical="center" textRotation="0" wrapText="false" indent="0" shrinkToFit="false"/>
      <protection locked="true" hidden="false"/>
    </xf>
    <xf numFmtId="167" fontId="25" fillId="10" borderId="73" xfId="0" applyFont="true" applyBorder="true" applyAlignment="true" applyProtection="false">
      <alignment horizontal="center" vertical="center" textRotation="0" wrapText="false" indent="0" shrinkToFit="false"/>
      <protection locked="true" hidden="false"/>
    </xf>
    <xf numFmtId="164" fontId="74" fillId="9" borderId="0" xfId="0" applyFont="true" applyBorder="false" applyAlignment="true" applyProtection="false">
      <alignment horizontal="general" vertical="center" textRotation="0" wrapText="false" indent="0" shrinkToFit="false"/>
      <protection locked="true" hidden="false"/>
    </xf>
    <xf numFmtId="164" fontId="75" fillId="9" borderId="0" xfId="0" applyFont="true" applyBorder="false" applyAlignment="true" applyProtection="false">
      <alignment horizontal="general" vertical="center" textRotation="0" wrapText="false" indent="0" shrinkToFit="false"/>
      <protection locked="true" hidden="false"/>
    </xf>
    <xf numFmtId="164" fontId="16" fillId="9" borderId="0" xfId="0" applyFont="true" applyBorder="false" applyAlignment="true" applyProtection="false">
      <alignment horizontal="left" vertical="center" textRotation="0" wrapText="false" indent="0" shrinkToFit="false"/>
      <protection locked="true" hidden="false"/>
    </xf>
    <xf numFmtId="165" fontId="74" fillId="9" borderId="74" xfId="0" applyFont="true" applyBorder="true" applyAlignment="true" applyProtection="false">
      <alignment horizontal="left" vertical="center" textRotation="0" wrapText="false" indent="0" shrinkToFit="false"/>
      <protection locked="true" hidden="false"/>
    </xf>
    <xf numFmtId="165" fontId="32" fillId="9" borderId="74" xfId="0" applyFont="true" applyBorder="true" applyAlignment="true" applyProtection="false">
      <alignment horizontal="general" vertical="center" textRotation="0" wrapText="true" indent="0" shrinkToFit="false"/>
      <protection locked="true" hidden="false"/>
    </xf>
    <xf numFmtId="165" fontId="74" fillId="9" borderId="0" xfId="0" applyFont="true" applyBorder="false" applyAlignment="true" applyProtection="false">
      <alignment horizontal="left" vertical="center" textRotation="0" wrapText="false" indent="0" shrinkToFit="false"/>
      <protection locked="true" hidden="false"/>
    </xf>
    <xf numFmtId="165" fontId="32" fillId="9" borderId="0" xfId="0" applyFont="true" applyBorder="false" applyAlignment="true" applyProtection="false">
      <alignment horizontal="general" vertical="center" textRotation="0" wrapText="true" indent="0" shrinkToFit="false"/>
      <protection locked="true" hidden="false"/>
    </xf>
    <xf numFmtId="164" fontId="74" fillId="9" borderId="75" xfId="0" applyFont="true" applyBorder="true" applyAlignment="true" applyProtection="false">
      <alignment horizontal="right" vertical="center" textRotation="0" wrapText="false" indent="0" shrinkToFit="false"/>
      <protection locked="true" hidden="false"/>
    </xf>
    <xf numFmtId="164" fontId="74" fillId="9" borderId="76" xfId="0" applyFont="true" applyBorder="true" applyAlignment="true" applyProtection="false">
      <alignment horizontal="right" vertical="center" textRotation="0" wrapText="false" indent="0" shrinkToFit="false"/>
      <protection locked="true" hidden="false"/>
    </xf>
    <xf numFmtId="164" fontId="74" fillId="9" borderId="76" xfId="0" applyFont="true" applyBorder="true" applyAlignment="true" applyProtection="false">
      <alignment horizontal="right" vertical="center" textRotation="0" wrapText="true" indent="0" shrinkToFit="false"/>
      <protection locked="true" hidden="false"/>
    </xf>
    <xf numFmtId="164" fontId="74" fillId="9" borderId="77" xfId="0" applyFont="true" applyBorder="true" applyAlignment="true" applyProtection="false">
      <alignment horizontal="right"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10" borderId="6" xfId="0" applyFont="true" applyBorder="true" applyAlignment="true" applyProtection="false">
      <alignment horizontal="general" vertical="center" textRotation="0" wrapText="false" indent="0" shrinkToFit="false"/>
      <protection locked="true" hidden="false"/>
    </xf>
    <xf numFmtId="164" fontId="19" fillId="10" borderId="9" xfId="0" applyFont="true" applyBorder="tru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19" fillId="0" borderId="6" xfId="0" applyFont="true" applyBorder="true" applyAlignment="true" applyProtection="false">
      <alignment horizontal="general" vertical="center" textRotation="0" wrapText="false" indent="0" shrinkToFit="false"/>
      <protection locked="true" hidden="false"/>
    </xf>
    <xf numFmtId="164" fontId="19" fillId="0" borderId="9" xfId="0" applyFont="true" applyBorder="true" applyAlignment="true" applyProtection="false">
      <alignment horizontal="general" vertical="center" textRotation="0" wrapText="false" indent="0" shrinkToFit="false"/>
      <protection locked="true" hidden="false"/>
    </xf>
    <xf numFmtId="164" fontId="19" fillId="0" borderId="9" xfId="0" applyFont="true" applyBorder="true" applyAlignment="true" applyProtection="false">
      <alignment horizontal="general" vertical="center" textRotation="0" wrapText="true" indent="0" shrinkToFit="false"/>
      <protection locked="true" hidden="false"/>
    </xf>
    <xf numFmtId="164" fontId="32" fillId="0" borderId="0" xfId="0" applyFont="true" applyBorder="false" applyAlignment="true" applyProtection="false">
      <alignment horizontal="general" vertical="center" textRotation="0" wrapText="true" indent="0" shrinkToFit="false"/>
      <protection locked="true" hidden="false"/>
    </xf>
    <xf numFmtId="164" fontId="32" fillId="0" borderId="0" xfId="0" applyFont="true" applyBorder="false" applyAlignment="true" applyProtection="false">
      <alignment horizontal="center" vertical="center" textRotation="0" wrapText="true" indent="0" shrinkToFit="false"/>
      <protection locked="true" hidden="false"/>
    </xf>
    <xf numFmtId="164" fontId="67" fillId="14" borderId="18" xfId="0" applyFont="true" applyBorder="true" applyAlignment="true" applyProtection="false">
      <alignment horizontal="center" vertical="center" textRotation="0" wrapText="true" indent="0" shrinkToFit="false"/>
      <protection locked="true" hidden="false"/>
    </xf>
    <xf numFmtId="164" fontId="76" fillId="14" borderId="18" xfId="0" applyFont="true" applyBorder="true" applyAlignment="true" applyProtection="false">
      <alignment horizontal="general" vertical="center" textRotation="0" wrapText="true" indent="0" shrinkToFit="false"/>
      <protection locked="true" hidden="false"/>
    </xf>
    <xf numFmtId="164" fontId="77" fillId="14" borderId="0" xfId="0" applyFont="true" applyBorder="false" applyAlignment="true" applyProtection="false">
      <alignment horizontal="general" vertical="center" textRotation="0" wrapText="true" indent="0" shrinkToFit="false"/>
      <protection locked="true" hidden="false"/>
    </xf>
    <xf numFmtId="164" fontId="78" fillId="0" borderId="78" xfId="0" applyFont="true" applyBorder="true" applyAlignment="true" applyProtection="false">
      <alignment horizontal="center" vertical="center" textRotation="0" wrapText="true" indent="0" shrinkToFit="false"/>
      <protection locked="true" hidden="false"/>
    </xf>
    <xf numFmtId="166" fontId="78" fillId="0" borderId="78" xfId="0" applyFont="true" applyBorder="true" applyAlignment="true" applyProtection="false">
      <alignment horizontal="center" vertical="center" textRotation="0" wrapText="true" indent="0" shrinkToFit="false"/>
      <protection locked="true" hidden="false"/>
    </xf>
    <xf numFmtId="166" fontId="78" fillId="10" borderId="17" xfId="0" applyFont="true" applyBorder="true" applyAlignment="true" applyProtection="false">
      <alignment horizontal="center" vertical="center" textRotation="0" wrapText="true" indent="0" shrinkToFit="false"/>
      <protection locked="true" hidden="false"/>
    </xf>
    <xf numFmtId="166" fontId="78" fillId="10" borderId="78" xfId="0" applyFont="true" applyBorder="true" applyAlignment="true" applyProtection="false">
      <alignment horizontal="center" vertical="center" textRotation="0" wrapText="true" indent="0" shrinkToFit="false"/>
      <protection locked="true" hidden="false"/>
    </xf>
    <xf numFmtId="166" fontId="78" fillId="10" borderId="79" xfId="0" applyFont="true" applyBorder="true" applyAlignment="true" applyProtection="false">
      <alignment horizontal="center" vertical="center" textRotation="0" wrapText="true" indent="0" shrinkToFit="false"/>
      <protection locked="true" hidden="false"/>
    </xf>
    <xf numFmtId="164" fontId="78" fillId="0" borderId="80" xfId="0" applyFont="true" applyBorder="true" applyAlignment="true" applyProtection="false">
      <alignment horizontal="center" vertical="center" textRotation="0" wrapText="true" indent="0" shrinkToFit="false"/>
      <protection locked="true" hidden="false"/>
    </xf>
    <xf numFmtId="164" fontId="32" fillId="0" borderId="0" xfId="0" applyFont="true" applyBorder="true" applyAlignment="true" applyProtection="false">
      <alignment horizontal="center" vertical="center" textRotation="0" wrapText="true" indent="0" shrinkToFit="false"/>
      <protection locked="true" hidden="false"/>
    </xf>
    <xf numFmtId="164" fontId="76" fillId="14" borderId="39" xfId="0" applyFont="true" applyBorder="true" applyAlignment="true" applyProtection="false">
      <alignment horizontal="general" vertical="center" textRotation="0" wrapText="true" indent="0" shrinkToFit="false"/>
      <protection locked="true" hidden="false"/>
    </xf>
    <xf numFmtId="164" fontId="76" fillId="14" borderId="40" xfId="0" applyFont="true" applyBorder="true" applyAlignment="true" applyProtection="false">
      <alignment horizontal="general" vertical="center" textRotation="0" wrapText="true" indent="0" shrinkToFit="false"/>
      <protection locked="true" hidden="false"/>
    </xf>
    <xf numFmtId="164" fontId="79" fillId="0" borderId="39" xfId="0" applyFont="true" applyBorder="true" applyAlignment="true" applyProtection="false">
      <alignment horizontal="center" vertical="center" textRotation="0" wrapText="true" indent="0" shrinkToFit="false"/>
      <protection locked="true" hidden="false"/>
    </xf>
    <xf numFmtId="164" fontId="80" fillId="0" borderId="45" xfId="0" applyFont="true" applyBorder="true" applyAlignment="true" applyProtection="false">
      <alignment horizontal="general" vertical="center" textRotation="0" wrapText="true" indent="0" shrinkToFit="false"/>
      <protection locked="true" hidden="false"/>
    </xf>
    <xf numFmtId="164" fontId="79" fillId="0" borderId="39" xfId="0" applyFont="true" applyBorder="true" applyAlignment="true" applyProtection="false">
      <alignment horizontal="general" vertical="center" textRotation="0" wrapText="true" indent="0" shrinkToFit="false"/>
      <protection locked="true" hidden="false"/>
    </xf>
    <xf numFmtId="164" fontId="79" fillId="0" borderId="40" xfId="0" applyFont="true" applyBorder="true" applyAlignment="true" applyProtection="false">
      <alignment horizontal="general" vertical="center" textRotation="0" wrapText="true" indent="0" shrinkToFit="false"/>
      <protection locked="true" hidden="false"/>
    </xf>
    <xf numFmtId="166" fontId="79" fillId="10" borderId="39" xfId="0" applyFont="true" applyBorder="true" applyAlignment="true" applyProtection="false">
      <alignment horizontal="center" vertical="center" textRotation="0" wrapText="true" indent="0" shrinkToFit="false"/>
      <protection locked="true" hidden="false"/>
    </xf>
    <xf numFmtId="166" fontId="79" fillId="10" borderId="45" xfId="0" applyFont="true" applyBorder="true" applyAlignment="true" applyProtection="false">
      <alignment horizontal="center" vertical="center" textRotation="0" wrapText="true" indent="0" shrinkToFit="false"/>
      <protection locked="true" hidden="false"/>
    </xf>
    <xf numFmtId="166" fontId="79" fillId="10" borderId="40" xfId="0" applyFont="true" applyBorder="true" applyAlignment="true" applyProtection="false">
      <alignment horizontal="center" vertical="center" textRotation="0" wrapText="true" indent="0" shrinkToFit="false"/>
      <protection locked="true" hidden="false"/>
    </xf>
    <xf numFmtId="164" fontId="32" fillId="0" borderId="81" xfId="0" applyFont="true" applyBorder="true" applyAlignment="true" applyProtection="false">
      <alignment horizontal="general" vertical="center" textRotation="0" wrapText="true" indent="0" shrinkToFit="false"/>
      <protection locked="true" hidden="false"/>
    </xf>
    <xf numFmtId="164" fontId="79" fillId="0" borderId="46" xfId="0" applyFont="true" applyBorder="true" applyAlignment="true" applyProtection="false">
      <alignment horizontal="center" vertical="center" textRotation="0" wrapText="true" indent="0" shrinkToFit="false"/>
      <protection locked="true" hidden="false"/>
    </xf>
    <xf numFmtId="164" fontId="80" fillId="0" borderId="82" xfId="0" applyFont="true" applyBorder="true" applyAlignment="true" applyProtection="false">
      <alignment horizontal="general" vertical="center" textRotation="0" wrapText="true" indent="0" shrinkToFit="false"/>
      <protection locked="true" hidden="false"/>
    </xf>
    <xf numFmtId="164" fontId="76" fillId="14" borderId="83" xfId="0" applyFont="true" applyBorder="true" applyAlignment="true" applyProtection="false">
      <alignment horizontal="general" vertical="center" textRotation="0" wrapText="true" indent="0" shrinkToFit="false"/>
      <protection locked="true" hidden="false"/>
    </xf>
    <xf numFmtId="165" fontId="76" fillId="14" borderId="84" xfId="0" applyFont="true" applyBorder="true" applyAlignment="true" applyProtection="false">
      <alignment horizontal="general" vertical="center" textRotation="0" wrapText="true" indent="0" shrinkToFit="false"/>
      <protection locked="true" hidden="false"/>
    </xf>
    <xf numFmtId="164" fontId="80" fillId="0" borderId="83" xfId="0" applyFont="true" applyBorder="true" applyAlignment="true" applyProtection="false">
      <alignment horizontal="center" vertical="center" textRotation="0" wrapText="true" indent="0" shrinkToFit="false"/>
      <protection locked="true" hidden="false"/>
    </xf>
    <xf numFmtId="164" fontId="80" fillId="0" borderId="85" xfId="0" applyFont="true" applyBorder="true" applyAlignment="true" applyProtection="false">
      <alignment horizontal="general" vertical="center" textRotation="0" wrapText="true" indent="0" shrinkToFit="false"/>
      <protection locked="true" hidden="false"/>
    </xf>
    <xf numFmtId="164" fontId="80" fillId="0" borderId="83" xfId="0" applyFont="true" applyBorder="true" applyAlignment="true" applyProtection="false">
      <alignment horizontal="general" vertical="center" textRotation="0" wrapText="true" indent="0" shrinkToFit="false"/>
      <protection locked="true" hidden="false"/>
    </xf>
    <xf numFmtId="164" fontId="80" fillId="0" borderId="84" xfId="0" applyFont="true" applyBorder="true" applyAlignment="true" applyProtection="false">
      <alignment horizontal="general" vertical="center" textRotation="0" wrapText="true" indent="0" shrinkToFit="false"/>
      <protection locked="true" hidden="false"/>
    </xf>
    <xf numFmtId="166" fontId="80" fillId="10" borderId="39" xfId="0" applyFont="true" applyBorder="true" applyAlignment="true" applyProtection="false">
      <alignment horizontal="center" vertical="center" textRotation="0" wrapText="true" indent="0" shrinkToFit="false"/>
      <protection locked="true" hidden="false"/>
    </xf>
    <xf numFmtId="166" fontId="80" fillId="10" borderId="85" xfId="0" applyFont="true" applyBorder="true" applyAlignment="true" applyProtection="false">
      <alignment horizontal="center" vertical="center" textRotation="0" wrapText="true" indent="0" shrinkToFit="false"/>
      <protection locked="true" hidden="false"/>
    </xf>
    <xf numFmtId="166" fontId="80" fillId="10" borderId="84" xfId="0" applyFont="true" applyBorder="true" applyAlignment="true" applyProtection="false">
      <alignment horizontal="center" vertical="center" textRotation="0" wrapText="true" indent="0" shrinkToFit="false"/>
      <protection locked="true" hidden="false"/>
    </xf>
    <xf numFmtId="166" fontId="79" fillId="10" borderId="85" xfId="0" applyFont="true" applyBorder="true" applyAlignment="true" applyProtection="false">
      <alignment horizontal="center" vertical="center" textRotation="0" wrapText="true" indent="0" shrinkToFit="false"/>
      <protection locked="true" hidden="false"/>
    </xf>
    <xf numFmtId="164" fontId="80" fillId="0" borderId="46" xfId="0" applyFont="true" applyBorder="true" applyAlignment="true" applyProtection="false">
      <alignment horizontal="general" vertical="center" textRotation="0" wrapText="true" indent="0" shrinkToFit="false"/>
      <protection locked="true" hidden="false"/>
    </xf>
    <xf numFmtId="164" fontId="76" fillId="14" borderId="86" xfId="0" applyFont="true" applyBorder="true" applyAlignment="true" applyProtection="false">
      <alignment horizontal="general" vertical="center" textRotation="0" wrapText="true" indent="0" shrinkToFit="false"/>
      <protection locked="true" hidden="false"/>
    </xf>
    <xf numFmtId="164" fontId="80" fillId="0" borderId="86" xfId="0" applyFont="true" applyBorder="true" applyAlignment="true" applyProtection="false">
      <alignment horizontal="center" vertical="center" textRotation="0" wrapText="true" indent="0" shrinkToFit="false"/>
      <protection locked="true" hidden="false"/>
    </xf>
    <xf numFmtId="164" fontId="80" fillId="0" borderId="87" xfId="0" applyFont="true" applyBorder="true" applyAlignment="true" applyProtection="false">
      <alignment horizontal="general" vertical="center" textRotation="0" wrapText="true" indent="0" shrinkToFit="false"/>
      <protection locked="true" hidden="false"/>
    </xf>
    <xf numFmtId="164" fontId="80" fillId="0" borderId="86" xfId="0" applyFont="true" applyBorder="true" applyAlignment="true" applyProtection="false">
      <alignment horizontal="general" vertical="center" textRotation="0" wrapText="true" indent="0" shrinkToFit="false"/>
      <protection locked="true" hidden="false"/>
    </xf>
    <xf numFmtId="164" fontId="80" fillId="0" borderId="88" xfId="0" applyFont="true" applyBorder="true" applyAlignment="true" applyProtection="false">
      <alignment horizontal="general" vertical="center" textRotation="0" wrapText="true" indent="0" shrinkToFit="false"/>
      <protection locked="true" hidden="false"/>
    </xf>
    <xf numFmtId="166" fontId="80" fillId="10" borderId="86" xfId="0" applyFont="true" applyBorder="true" applyAlignment="true" applyProtection="false">
      <alignment horizontal="center" vertical="center" textRotation="0" wrapText="true" indent="0" shrinkToFit="false"/>
      <protection locked="true" hidden="false"/>
    </xf>
    <xf numFmtId="166" fontId="79" fillId="10" borderId="87" xfId="0" applyFont="true" applyBorder="true" applyAlignment="true" applyProtection="false">
      <alignment horizontal="center" vertical="center" textRotation="0" wrapText="true" indent="0" shrinkToFit="false"/>
      <protection locked="true" hidden="false"/>
    </xf>
    <xf numFmtId="166" fontId="80" fillId="10" borderId="88" xfId="0" applyFont="true" applyBorder="true" applyAlignment="true" applyProtection="false">
      <alignment horizontal="center" vertical="center" textRotation="0" wrapText="true" indent="0" shrinkToFit="false"/>
      <protection locked="true" hidden="false"/>
    </xf>
    <xf numFmtId="164" fontId="80" fillId="0" borderId="89" xfId="0" applyFont="true" applyBorder="true" applyAlignment="true" applyProtection="false">
      <alignment horizontal="general" vertical="center" textRotation="0" wrapText="true" indent="0" shrinkToFit="false"/>
      <protection locked="true" hidden="false"/>
    </xf>
    <xf numFmtId="164" fontId="80" fillId="0" borderId="90" xfId="0" applyFont="true" applyBorder="true" applyAlignment="true" applyProtection="false">
      <alignment horizontal="general" vertical="center" textRotation="0" wrapText="true" indent="0" shrinkToFit="false"/>
      <protection locked="true" hidden="false"/>
    </xf>
    <xf numFmtId="164" fontId="80" fillId="0" borderId="91" xfId="0" applyFont="true" applyBorder="true" applyAlignment="true" applyProtection="false">
      <alignment horizontal="general" vertical="center" textRotation="0" wrapText="true" indent="0" shrinkToFit="false"/>
      <protection locked="true" hidden="false"/>
    </xf>
    <xf numFmtId="164" fontId="80" fillId="0" borderId="19" xfId="0" applyFont="true" applyBorder="true" applyAlignment="true" applyProtection="false">
      <alignment horizontal="general" vertical="center" textRotation="0" wrapText="true" indent="0" shrinkToFit="false"/>
      <protection locked="true" hidden="false"/>
    </xf>
    <xf numFmtId="164" fontId="80" fillId="0" borderId="18" xfId="0" applyFont="true" applyBorder="true" applyAlignment="true" applyProtection="false">
      <alignment horizontal="general" vertical="center" textRotation="0" wrapText="true" indent="0" shrinkToFit="false"/>
      <protection locked="true" hidden="false"/>
    </xf>
    <xf numFmtId="164" fontId="80" fillId="0" borderId="0" xfId="0" applyFont="true" applyBorder="false" applyAlignment="true" applyProtection="false">
      <alignment horizontal="general" vertical="center" textRotation="0" wrapText="true" indent="0" shrinkToFit="false"/>
      <protection locked="true" hidden="false"/>
    </xf>
    <xf numFmtId="166" fontId="80" fillId="10" borderId="87" xfId="0" applyFont="true" applyBorder="true" applyAlignment="true" applyProtection="false">
      <alignment horizontal="center" vertical="center" textRotation="0" wrapText="true" indent="0" shrinkToFit="false"/>
      <protection locked="true" hidden="false"/>
    </xf>
    <xf numFmtId="164" fontId="80" fillId="0" borderId="92" xfId="0" applyFont="true" applyBorder="true" applyAlignment="true" applyProtection="false">
      <alignment horizontal="general" vertical="center" textRotation="0" wrapText="true" indent="0" shrinkToFit="false"/>
      <protection locked="true" hidden="false"/>
    </xf>
    <xf numFmtId="164" fontId="80" fillId="0" borderId="93" xfId="0" applyFont="true" applyBorder="true" applyAlignment="true" applyProtection="false">
      <alignment horizontal="general" vertical="center" textRotation="0" wrapText="true" indent="0" shrinkToFit="false"/>
      <protection locked="true" hidden="false"/>
    </xf>
    <xf numFmtId="164" fontId="80" fillId="0" borderId="94" xfId="0" applyFont="true" applyBorder="true" applyAlignment="true" applyProtection="false">
      <alignment horizontal="general" vertical="center" textRotation="0" wrapText="true" indent="0" shrinkToFit="false"/>
      <protection locked="true" hidden="false"/>
    </xf>
    <xf numFmtId="164" fontId="80" fillId="0" borderId="95" xfId="0" applyFont="true" applyBorder="true" applyAlignment="true" applyProtection="false">
      <alignment horizontal="general" vertical="center" textRotation="0" wrapText="true" indent="0" shrinkToFit="false"/>
      <protection locked="true" hidden="false"/>
    </xf>
    <xf numFmtId="164" fontId="32" fillId="0" borderId="96" xfId="0" applyFont="true" applyBorder="true" applyAlignment="true" applyProtection="false">
      <alignment horizontal="general" vertical="center" textRotation="0" wrapText="true" indent="0" shrinkToFit="false"/>
      <protection locked="true" hidden="false"/>
    </xf>
    <xf numFmtId="164" fontId="80" fillId="0" borderId="51" xfId="0" applyFont="true" applyBorder="true" applyAlignment="true" applyProtection="false">
      <alignment horizontal="general" vertical="center" textRotation="0" wrapText="true" indent="0" shrinkToFit="false"/>
      <protection locked="true" hidden="false"/>
    </xf>
    <xf numFmtId="164" fontId="32" fillId="0" borderId="97" xfId="0" applyFont="true" applyBorder="true" applyAlignment="true" applyProtection="false">
      <alignment horizontal="general" vertical="center" textRotation="0" wrapText="true" indent="0" shrinkToFit="false"/>
      <protection locked="true" hidden="false"/>
    </xf>
    <xf numFmtId="164" fontId="76" fillId="14" borderId="98" xfId="0" applyFont="true" applyBorder="true" applyAlignment="true" applyProtection="false">
      <alignment horizontal="general" vertical="center" textRotation="0" wrapText="true" indent="0" shrinkToFit="false"/>
      <protection locked="true" hidden="false"/>
    </xf>
    <xf numFmtId="165" fontId="32" fillId="0" borderId="15" xfId="0" applyFont="true" applyBorder="true" applyAlignment="true" applyProtection="false">
      <alignment horizontal="general" vertical="center" textRotation="0" wrapText="true" indent="0" shrinkToFit="false"/>
      <protection locked="true" hidden="false"/>
    </xf>
    <xf numFmtId="164" fontId="32" fillId="0" borderId="16" xfId="0" applyFont="true" applyBorder="true" applyAlignment="true" applyProtection="false">
      <alignment horizontal="general" vertical="center" textRotation="0" wrapText="true" indent="0" shrinkToFit="false"/>
      <protection locked="true" hidden="false"/>
    </xf>
    <xf numFmtId="167" fontId="32" fillId="0" borderId="16" xfId="19" applyFont="true" applyBorder="true" applyAlignment="true" applyProtection="false">
      <alignment horizontal="center" vertical="center" textRotation="0" wrapText="true" indent="0" shrinkToFit="false"/>
      <protection locked="true" hidden="false"/>
    </xf>
    <xf numFmtId="165" fontId="32" fillId="0" borderId="16" xfId="0" applyFont="true" applyBorder="true" applyAlignment="true" applyProtection="false">
      <alignment horizontal="center" vertical="center" textRotation="0" wrapText="true" indent="0" shrinkToFit="false"/>
      <protection locked="true" hidden="false"/>
    </xf>
    <xf numFmtId="175" fontId="32" fillId="0" borderId="16" xfId="0" applyFont="true" applyBorder="true" applyAlignment="true" applyProtection="false">
      <alignment horizontal="general" vertical="center" textRotation="0" wrapText="true" indent="0" shrinkToFit="false"/>
      <protection locked="true" hidden="false"/>
    </xf>
    <xf numFmtId="175" fontId="32" fillId="0" borderId="17" xfId="0" applyFont="true" applyBorder="true" applyAlignment="true" applyProtection="false">
      <alignment horizontal="general" vertical="center" textRotation="0" wrapText="true" indent="0" shrinkToFit="false"/>
      <protection locked="true" hidden="false"/>
    </xf>
    <xf numFmtId="165" fontId="32" fillId="0" borderId="18" xfId="0" applyFont="true" applyBorder="true" applyAlignment="true" applyProtection="false">
      <alignment horizontal="general" vertical="center" textRotation="0" wrapText="true" indent="0" shrinkToFit="false"/>
      <protection locked="true" hidden="false"/>
    </xf>
    <xf numFmtId="167" fontId="32" fillId="0" borderId="0" xfId="19" applyFont="true" applyBorder="false" applyAlignment="true" applyProtection="false">
      <alignment horizontal="center" vertical="center" textRotation="0" wrapText="true" indent="0" shrinkToFit="false"/>
      <protection locked="true" hidden="false"/>
    </xf>
    <xf numFmtId="175" fontId="32" fillId="0" borderId="0" xfId="0" applyFont="true" applyBorder="false" applyAlignment="true" applyProtection="false">
      <alignment horizontal="general" vertical="center" textRotation="0" wrapText="true" indent="0" shrinkToFit="false"/>
      <protection locked="true" hidden="false"/>
    </xf>
    <xf numFmtId="175" fontId="32" fillId="0" borderId="19" xfId="0" applyFont="true" applyBorder="true" applyAlignment="true" applyProtection="false">
      <alignment horizontal="general" vertical="center" textRotation="0" wrapText="true" indent="0" shrinkToFit="false"/>
      <protection locked="true" hidden="false"/>
    </xf>
    <xf numFmtId="167" fontId="32" fillId="0" borderId="0" xfId="0" applyFont="true" applyBorder="false" applyAlignment="true" applyProtection="false">
      <alignment horizontal="center" vertical="center" textRotation="0" wrapText="true" indent="0" shrinkToFit="false"/>
      <protection locked="true" hidden="false"/>
    </xf>
    <xf numFmtId="164" fontId="32" fillId="0" borderId="39" xfId="0" applyFont="true" applyBorder="true" applyAlignment="true" applyProtection="false">
      <alignment horizontal="general" vertical="center" textRotation="0" wrapText="true" indent="0" shrinkToFit="false"/>
      <protection locked="true" hidden="false"/>
    </xf>
    <xf numFmtId="164" fontId="78" fillId="0" borderId="40" xfId="0" applyFont="true" applyBorder="true" applyAlignment="true" applyProtection="false">
      <alignment horizontal="general" vertical="center" textRotation="0" wrapText="true" indent="0" shrinkToFit="false"/>
      <protection locked="true" hidden="false"/>
    </xf>
    <xf numFmtId="164" fontId="32" fillId="0" borderId="40" xfId="0" applyFont="true" applyBorder="true" applyAlignment="true" applyProtection="false">
      <alignment horizontal="center" vertical="center" textRotation="0" wrapText="true" indent="0" shrinkToFit="false"/>
      <protection locked="true" hidden="false"/>
    </xf>
    <xf numFmtId="164" fontId="32" fillId="0" borderId="40" xfId="0" applyFont="true" applyBorder="true" applyAlignment="true" applyProtection="false">
      <alignment horizontal="general" vertical="center" textRotation="0" wrapText="true" indent="0" shrinkToFit="false"/>
      <protection locked="true" hidden="false"/>
    </xf>
    <xf numFmtId="165" fontId="32" fillId="0" borderId="45" xfId="0" applyFont="true" applyBorder="true" applyAlignment="true" applyProtection="false">
      <alignment horizontal="general" vertical="center" textRotation="0" wrapText="tru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center" vertical="bottom" textRotation="0" wrapText="false" indent="0" shrinkToFit="false"/>
      <protection locked="true" hidden="false"/>
    </xf>
    <xf numFmtId="164" fontId="78" fillId="0" borderId="10" xfId="0" applyFont="true" applyBorder="true" applyAlignment="true" applyProtection="false">
      <alignment horizontal="center" vertical="bottom" textRotation="0" wrapText="false" indent="0" shrinkToFit="false"/>
      <protection locked="true" hidden="false"/>
    </xf>
    <xf numFmtId="164" fontId="76" fillId="10" borderId="99" xfId="0" applyFont="true" applyBorder="true" applyAlignment="true" applyProtection="false">
      <alignment horizontal="left" vertical="center" textRotation="0" wrapText="true" indent="0" shrinkToFit="false"/>
      <protection locked="true" hidden="false"/>
    </xf>
    <xf numFmtId="164" fontId="76" fillId="10" borderId="99" xfId="0" applyFont="true" applyBorder="true" applyAlignment="true" applyProtection="false">
      <alignment horizontal="center" vertical="center" textRotation="0" wrapText="true" indent="0" shrinkToFit="false"/>
      <protection locked="true" hidden="false"/>
    </xf>
    <xf numFmtId="164" fontId="76" fillId="10" borderId="100" xfId="0" applyFont="true" applyBorder="true" applyAlignment="true" applyProtection="false">
      <alignment horizontal="center" vertical="center" textRotation="0" wrapText="true" indent="0" shrinkToFit="false"/>
      <protection locked="true" hidden="false"/>
    </xf>
    <xf numFmtId="164" fontId="76" fillId="10" borderId="101" xfId="0" applyFont="true" applyBorder="true" applyAlignment="true" applyProtection="false">
      <alignment horizontal="center" vertical="center" textRotation="0" wrapText="true" indent="0" shrinkToFit="false"/>
      <protection locked="true" hidden="false"/>
    </xf>
    <xf numFmtId="164" fontId="76" fillId="10" borderId="102" xfId="0" applyFont="true" applyBorder="true" applyAlignment="true" applyProtection="false">
      <alignment horizontal="center" vertical="center" textRotation="0" wrapText="true" indent="0" shrinkToFit="false"/>
      <protection locked="true" hidden="false"/>
    </xf>
    <xf numFmtId="164" fontId="76" fillId="10" borderId="103" xfId="0" applyFont="true" applyBorder="true" applyAlignment="true" applyProtection="false">
      <alignment horizontal="center" vertical="center" textRotation="0" wrapText="true" indent="0" shrinkToFit="false"/>
      <protection locked="true" hidden="false"/>
    </xf>
    <xf numFmtId="164" fontId="76" fillId="10" borderId="104" xfId="0" applyFont="true" applyBorder="true" applyAlignment="true" applyProtection="false">
      <alignment horizontal="center" vertical="center" textRotation="0" wrapText="true" indent="0" shrinkToFit="false"/>
      <protection locked="true" hidden="false"/>
    </xf>
    <xf numFmtId="164" fontId="76" fillId="10" borderId="105" xfId="0" applyFont="true" applyBorder="true" applyAlignment="true" applyProtection="false">
      <alignment horizontal="center" vertical="center" textRotation="0" wrapText="true" indent="0" shrinkToFit="false"/>
      <protection locked="true" hidden="false"/>
    </xf>
    <xf numFmtId="164" fontId="76" fillId="10" borderId="17" xfId="0" applyFont="true" applyBorder="true" applyAlignment="true" applyProtection="false">
      <alignment horizontal="center" vertical="center" textRotation="0" wrapText="true" indent="0" shrinkToFit="false"/>
      <protection locked="true" hidden="false"/>
    </xf>
    <xf numFmtId="166" fontId="78" fillId="10" borderId="106" xfId="0" applyFont="true" applyBorder="true" applyAlignment="true" applyProtection="false">
      <alignment horizontal="center" vertical="center" textRotation="0" wrapText="true" indent="0" shrinkToFit="false"/>
      <protection locked="true" hidden="false"/>
    </xf>
    <xf numFmtId="166" fontId="78" fillId="10" borderId="20" xfId="0" applyFont="true" applyBorder="true" applyAlignment="true" applyProtection="false">
      <alignment horizontal="center" vertical="center" textRotation="0" wrapText="true" indent="0" shrinkToFit="false"/>
      <protection locked="true" hidden="false"/>
    </xf>
    <xf numFmtId="166" fontId="78" fillId="10" borderId="22" xfId="0" applyFont="true" applyBorder="true" applyAlignment="true" applyProtection="false">
      <alignment horizontal="center" vertical="center" textRotation="0" wrapText="true" indent="0" shrinkToFit="false"/>
      <protection locked="true" hidden="false"/>
    </xf>
    <xf numFmtId="176" fontId="78" fillId="0" borderId="9" xfId="0" applyFont="true" applyBorder="true" applyAlignment="true" applyProtection="false">
      <alignment horizontal="center" vertical="center" textRotation="0" wrapText="true" indent="0" shrinkToFit="false"/>
      <protection locked="true" hidden="false"/>
    </xf>
    <xf numFmtId="166" fontId="78" fillId="0" borderId="99" xfId="0" applyFont="true" applyBorder="true" applyAlignment="true" applyProtection="false">
      <alignment horizontal="center" vertical="center" textRotation="0" wrapText="true" indent="0" shrinkToFit="false"/>
      <protection locked="true" hidden="false"/>
    </xf>
    <xf numFmtId="166" fontId="78" fillId="0" borderId="100" xfId="0" applyFont="true" applyBorder="true" applyAlignment="true" applyProtection="false">
      <alignment horizontal="center" vertical="center" textRotation="0" wrapText="true" indent="0" shrinkToFit="false"/>
      <protection locked="true" hidden="false"/>
    </xf>
    <xf numFmtId="167" fontId="32" fillId="0" borderId="0" xfId="19" applyFont="true" applyBorder="false" applyAlignment="false" applyProtection="false">
      <alignment horizontal="general" vertical="bottom" textRotation="0" wrapText="false" indent="0" shrinkToFit="false"/>
      <protection locked="true" hidden="false"/>
    </xf>
    <xf numFmtId="165" fontId="32" fillId="0" borderId="18" xfId="0" applyFont="true" applyBorder="true" applyAlignment="false" applyProtection="false">
      <alignment horizontal="general" vertical="bottom" textRotation="0" wrapText="false" indent="0" shrinkToFit="false"/>
      <protection locked="true" hidden="false"/>
    </xf>
    <xf numFmtId="169" fontId="32" fillId="0" borderId="0" xfId="0" applyFont="true" applyBorder="false" applyAlignment="false" applyProtection="false">
      <alignment horizontal="general" vertical="bottom" textRotation="0" wrapText="false" indent="0" shrinkToFit="false"/>
      <protection locked="true" hidden="false"/>
    </xf>
    <xf numFmtId="169" fontId="32" fillId="0" borderId="19" xfId="0" applyFont="true" applyBorder="true" applyAlignment="false" applyProtection="false">
      <alignment horizontal="general" vertical="bottom" textRotation="0" wrapText="false" indent="0" shrinkToFit="false"/>
      <protection locked="true" hidden="false"/>
    </xf>
    <xf numFmtId="164" fontId="76" fillId="10" borderId="100" xfId="0" applyFont="true" applyBorder="true" applyAlignment="true" applyProtection="false">
      <alignment horizontal="left" vertical="center" textRotation="0" wrapText="true" indent="0" shrinkToFit="false"/>
      <protection locked="true" hidden="false"/>
    </xf>
    <xf numFmtId="166" fontId="78" fillId="10" borderId="32" xfId="0" applyFont="true" applyBorder="true" applyAlignment="true" applyProtection="false">
      <alignment horizontal="center" vertical="center" textRotation="0" wrapText="true" indent="0" shrinkToFit="false"/>
      <protection locked="true" hidden="false"/>
    </xf>
    <xf numFmtId="166" fontId="78" fillId="10" borderId="62" xfId="0" applyFont="true" applyBorder="true" applyAlignment="true" applyProtection="false">
      <alignment horizontal="center" vertical="center" textRotation="0" wrapText="true" indent="0" shrinkToFit="false"/>
      <protection locked="true" hidden="false"/>
    </xf>
    <xf numFmtId="164" fontId="81" fillId="12" borderId="39" xfId="0" applyFont="true" applyBorder="true" applyAlignment="true" applyProtection="false">
      <alignment horizontal="center" vertical="bottom" textRotation="0" wrapText="false" indent="0" shrinkToFit="false"/>
      <protection locked="true" hidden="false"/>
    </xf>
    <xf numFmtId="165" fontId="32" fillId="12" borderId="107" xfId="0" applyFont="true" applyBorder="true" applyAlignment="false" applyProtection="false">
      <alignment horizontal="general" vertical="bottom" textRotation="0" wrapText="false" indent="0" shrinkToFit="false"/>
      <protection locked="true" hidden="false"/>
    </xf>
    <xf numFmtId="164" fontId="32" fillId="12" borderId="40" xfId="0" applyFont="true" applyBorder="true" applyAlignment="false" applyProtection="false">
      <alignment horizontal="general" vertical="bottom" textRotation="0" wrapText="false" indent="0" shrinkToFit="false"/>
      <protection locked="true" hidden="false"/>
    </xf>
    <xf numFmtId="164" fontId="76" fillId="0" borderId="0" xfId="0" applyFont="true" applyBorder="false" applyAlignment="true" applyProtection="false">
      <alignment horizontal="left" vertical="center" textRotation="0" wrapText="true" indent="0" shrinkToFit="false"/>
      <protection locked="true" hidden="false"/>
    </xf>
    <xf numFmtId="166" fontId="78" fillId="0" borderId="0" xfId="0" applyFont="true" applyBorder="false" applyAlignment="true" applyProtection="false">
      <alignment horizontal="center" vertical="center" textRotation="0" wrapText="true" indent="0" shrinkToFit="false"/>
      <protection locked="true" hidden="false"/>
    </xf>
    <xf numFmtId="176" fontId="78" fillId="0" borderId="0" xfId="0" applyFont="true" applyBorder="false" applyAlignment="true" applyProtection="false">
      <alignment horizontal="center" vertical="center" textRotation="0" wrapText="true" indent="0" shrinkToFit="false"/>
      <protection locked="true" hidden="false"/>
    </xf>
    <xf numFmtId="165" fontId="78" fillId="0" borderId="107" xfId="0" applyFont="true" applyBorder="true" applyAlignment="false" applyProtection="false">
      <alignment horizontal="general" vertical="bottom" textRotation="0" wrapText="false" indent="0" shrinkToFit="false"/>
      <protection locked="true" hidden="false"/>
    </xf>
    <xf numFmtId="164" fontId="76" fillId="10" borderId="108" xfId="0" applyFont="true" applyBorder="true" applyAlignment="true" applyProtection="false">
      <alignment horizontal="left" vertical="center" textRotation="0" wrapText="true" indent="0" shrinkToFit="false"/>
      <protection locked="true" hidden="false"/>
    </xf>
    <xf numFmtId="166" fontId="78" fillId="10" borderId="108" xfId="0" applyFont="true" applyBorder="true" applyAlignment="true" applyProtection="false">
      <alignment horizontal="center" vertical="center" textRotation="0" wrapText="true" indent="0" shrinkToFit="false"/>
      <protection locked="true" hidden="false"/>
    </xf>
    <xf numFmtId="167" fontId="78" fillId="10" borderId="109" xfId="19" applyFont="true" applyBorder="true" applyAlignment="true" applyProtection="false">
      <alignment horizontal="center" vertical="center" textRotation="0" wrapText="true" indent="0" shrinkToFit="false"/>
      <protection locked="true" hidden="false"/>
    </xf>
    <xf numFmtId="166" fontId="78" fillId="10" borderId="61" xfId="0" applyFont="true" applyBorder="true" applyAlignment="true" applyProtection="false">
      <alignment horizontal="center" vertical="center" textRotation="0" wrapText="true" indent="0" shrinkToFit="false"/>
      <protection locked="true" hidden="false"/>
    </xf>
    <xf numFmtId="166" fontId="78" fillId="0" borderId="108" xfId="0" applyFont="true" applyBorder="true" applyAlignment="true" applyProtection="false">
      <alignment horizontal="center" vertical="center" textRotation="0" wrapText="true" indent="0" shrinkToFit="false"/>
      <protection locked="true" hidden="false"/>
    </xf>
    <xf numFmtId="167" fontId="32" fillId="0" borderId="0" xfId="0" applyFont="true" applyBorder="false" applyAlignment="false" applyProtection="false">
      <alignment horizontal="general" vertical="bottom" textRotation="0" wrapText="false" indent="0" shrinkToFit="false"/>
      <protection locked="true" hidden="false"/>
    </xf>
    <xf numFmtId="164" fontId="76" fillId="10" borderId="0" xfId="0" applyFont="true" applyBorder="false" applyAlignment="true" applyProtection="false">
      <alignment horizontal="left" vertical="center" textRotation="0" wrapText="true" indent="0" shrinkToFit="false"/>
      <protection locked="true" hidden="false"/>
    </xf>
    <xf numFmtId="166" fontId="78" fillId="10" borderId="0" xfId="0" applyFont="true" applyBorder="false" applyAlignment="true" applyProtection="false">
      <alignment horizontal="center" vertical="center" textRotation="0" wrapText="true" indent="0" shrinkToFit="false"/>
      <protection locked="true" hidden="false"/>
    </xf>
    <xf numFmtId="167" fontId="78" fillId="10" borderId="0" xfId="19" applyFont="true" applyBorder="false" applyAlignment="true" applyProtection="false">
      <alignment horizontal="center" vertical="center" textRotation="0" wrapText="true" indent="0" shrinkToFit="false"/>
      <protection locked="true" hidden="false"/>
    </xf>
    <xf numFmtId="165" fontId="32" fillId="17" borderId="0" xfId="0" applyFont="true" applyBorder="false" applyAlignment="false" applyProtection="false">
      <alignment horizontal="general" vertical="bottom" textRotation="0" wrapText="false" indent="0" shrinkToFit="false"/>
      <protection locked="true" hidden="false"/>
    </xf>
    <xf numFmtId="164" fontId="77" fillId="14" borderId="0" xfId="0" applyFont="true" applyBorder="false" applyAlignment="false" applyProtection="false">
      <alignment horizontal="general" vertical="bottom" textRotation="0" wrapText="false" indent="0" shrinkToFit="false"/>
      <protection locked="true" hidden="false"/>
    </xf>
    <xf numFmtId="164" fontId="76" fillId="14" borderId="0" xfId="0" applyFont="true" applyBorder="false" applyAlignment="false" applyProtection="false">
      <alignment horizontal="general" vertical="bottom" textRotation="0" wrapText="false" indent="0" shrinkToFit="false"/>
      <protection locked="true" hidden="false"/>
    </xf>
    <xf numFmtId="164" fontId="76" fillId="14" borderId="0" xfId="0" applyFont="true" applyBorder="false" applyAlignment="true" applyProtection="false">
      <alignment horizontal="center" vertical="bottom" textRotation="0" wrapText="false" indent="0" shrinkToFit="false"/>
      <protection locked="true" hidden="false"/>
    </xf>
    <xf numFmtId="177" fontId="76" fillId="14" borderId="0" xfId="0" applyFont="true" applyBorder="false" applyAlignment="false" applyProtection="false">
      <alignment horizontal="general" vertical="bottom" textRotation="0" wrapText="false" indent="0" shrinkToFit="false"/>
      <protection locked="true" hidden="false"/>
    </xf>
    <xf numFmtId="164" fontId="76" fillId="14" borderId="0" xfId="20" applyFont="true" applyBorder="false" applyAlignment="false" applyProtection="false">
      <alignment horizontal="general" vertical="bottom" textRotation="0" wrapText="false" indent="0" shrinkToFit="false"/>
      <protection locked="true" hidden="false"/>
    </xf>
    <xf numFmtId="164" fontId="20" fillId="14" borderId="0" xfId="20" applyFont="false" applyBorder="false" applyAlignment="false" applyProtection="false">
      <alignment horizontal="general" vertical="bottom" textRotation="0" wrapText="false" indent="0" shrinkToFit="false"/>
      <protection locked="true" hidden="false"/>
    </xf>
    <xf numFmtId="164" fontId="82" fillId="0" borderId="0" xfId="0" applyFont="true" applyBorder="false" applyAlignment="false" applyProtection="false">
      <alignment horizontal="general" vertical="bottom" textRotation="0" wrapText="false" indent="0" shrinkToFit="false"/>
      <protection locked="true" hidden="false"/>
    </xf>
    <xf numFmtId="166" fontId="82"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78" fillId="0" borderId="0" xfId="0" applyFont="true" applyBorder="false" applyAlignment="true" applyProtection="false">
      <alignment horizontal="center" vertical="bottom" textRotation="0" wrapText="false" indent="0" shrinkToFit="false"/>
      <protection locked="true" hidden="false"/>
    </xf>
    <xf numFmtId="164" fontId="78" fillId="0" borderId="0" xfId="0" applyFont="true" applyBorder="false" applyAlignment="false" applyProtection="false">
      <alignment horizontal="general" vertical="bottom" textRotation="0" wrapText="false" indent="0" shrinkToFit="false"/>
      <protection locked="true" hidden="false"/>
    </xf>
    <xf numFmtId="178" fontId="42" fillId="0" borderId="0" xfId="0" applyFont="true" applyBorder="false" applyAlignment="false" applyProtection="false">
      <alignment horizontal="general" vertical="bottom" textRotation="0" wrapText="false" indent="0" shrinkToFit="false"/>
      <protection locked="true" hidden="false"/>
    </xf>
    <xf numFmtId="164" fontId="32" fillId="11"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76" fontId="42" fillId="0" borderId="0" xfId="0" applyFont="true" applyBorder="false" applyAlignment="false" applyProtection="false">
      <alignment horizontal="general" vertical="bottom" textRotation="0" wrapText="false" indent="0" shrinkToFit="false"/>
      <protection locked="true" hidden="false"/>
    </xf>
    <xf numFmtId="166" fontId="42" fillId="0" borderId="0" xfId="0" applyFont="true" applyBorder="false" applyAlignment="false" applyProtection="false">
      <alignment horizontal="general" vertical="bottom" textRotation="0" wrapText="false" indent="0" shrinkToFit="false"/>
      <protection locked="true" hidden="false"/>
    </xf>
    <xf numFmtId="166" fontId="32" fillId="0" borderId="0" xfId="0" applyFont="true" applyBorder="false" applyAlignment="false" applyProtection="false">
      <alignment horizontal="general" vertical="bottom" textRotation="0" wrapText="false" indent="0" shrinkToFit="false"/>
      <protection locked="true" hidden="false"/>
    </xf>
    <xf numFmtId="175" fontId="32" fillId="0" borderId="0" xfId="0" applyFont="true" applyBorder="false" applyAlignment="false" applyProtection="false">
      <alignment horizontal="general" vertical="bottom" textRotation="0" wrapText="false" indent="0" shrinkToFit="false"/>
      <protection locked="true" hidden="false"/>
    </xf>
    <xf numFmtId="166" fontId="78" fillId="0" borderId="0" xfId="0" applyFont="true" applyBorder="false" applyAlignment="false" applyProtection="false">
      <alignment horizontal="general" vertical="bottom" textRotation="0" wrapText="false" indent="0" shrinkToFit="false"/>
      <protection locked="true" hidden="false"/>
    </xf>
    <xf numFmtId="175" fontId="78" fillId="0" borderId="0" xfId="0" applyFont="true" applyBorder="false" applyAlignment="false" applyProtection="false">
      <alignment horizontal="general" vertical="bottom" textRotation="0" wrapText="false" indent="0" shrinkToFit="false"/>
      <protection locked="true" hidden="false"/>
    </xf>
    <xf numFmtId="166" fontId="32" fillId="17" borderId="0" xfId="0" applyFont="true" applyBorder="false" applyAlignment="false" applyProtection="false">
      <alignment horizontal="general" vertical="bottom" textRotation="0" wrapText="false" indent="0" shrinkToFit="false"/>
      <protection locked="true" hidden="false"/>
    </xf>
    <xf numFmtId="175" fontId="32" fillId="17"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110" xfId="0" applyFont="false" applyBorder="true" applyAlignment="true" applyProtection="false">
      <alignment horizontal="general" vertical="bottom" textRotation="0" wrapText="true" indent="0" shrinkToFit="false"/>
      <protection locked="true" hidden="false"/>
    </xf>
    <xf numFmtId="164" fontId="35" fillId="0" borderId="0" xfId="0" applyFont="true" applyBorder="false" applyAlignment="true" applyProtection="false">
      <alignment horizontal="general" vertical="bottom" textRotation="0" wrapText="true" indent="0" shrinkToFit="false"/>
      <protection locked="true" hidden="false"/>
    </xf>
    <xf numFmtId="165" fontId="0" fillId="8" borderId="0" xfId="0" applyFont="false" applyBorder="false" applyAlignment="true" applyProtection="false">
      <alignment horizontal="general" vertical="bottom" textRotation="0" wrapText="true" indent="0" shrinkToFit="false"/>
      <protection locked="true" hidden="false"/>
    </xf>
    <xf numFmtId="165" fontId="0" fillId="7" borderId="0" xfId="0" applyFont="false" applyBorder="false" applyAlignment="true" applyProtection="false">
      <alignment horizontal="general" vertical="bottom" textRotation="0" wrapText="true" indent="0" shrinkToFit="false"/>
      <protection locked="true" hidden="false"/>
    </xf>
    <xf numFmtId="164" fontId="0" fillId="18" borderId="110" xfId="0" applyFont="true" applyBorder="true" applyAlignment="true" applyProtection="false">
      <alignment horizontal="general" vertical="bottom" textRotation="0" wrapText="true" indent="0" shrinkToFit="false"/>
      <protection locked="true" hidden="false"/>
    </xf>
    <xf numFmtId="164" fontId="0" fillId="18" borderId="99" xfId="0" applyFont="true" applyBorder="true" applyAlignment="true" applyProtection="false">
      <alignment horizontal="general" vertical="bottom" textRotation="0" wrapText="true" indent="0" shrinkToFit="false"/>
      <protection locked="true" hidden="false"/>
    </xf>
    <xf numFmtId="164" fontId="0" fillId="13" borderId="110" xfId="0" applyFont="true" applyBorder="true" applyAlignment="true" applyProtection="false">
      <alignment horizontal="general" vertical="bottom" textRotation="0" wrapText="true" indent="0" shrinkToFit="false"/>
      <protection locked="true" hidden="false"/>
    </xf>
    <xf numFmtId="164" fontId="0" fillId="0" borderId="99" xfId="0" applyFont="false" applyBorder="true" applyAlignment="true" applyProtection="false">
      <alignment horizontal="general" vertical="bottom" textRotation="0" wrapText="true" indent="0" shrinkToFit="false"/>
      <protection locked="true" hidden="false"/>
    </xf>
    <xf numFmtId="164" fontId="14" fillId="0" borderId="110" xfId="0" applyFont="true" applyBorder="true" applyAlignment="true" applyProtection="false">
      <alignment horizontal="general" vertical="bottom" textRotation="0" wrapText="true" indent="0" shrinkToFit="false"/>
      <protection locked="true" hidden="false"/>
    </xf>
    <xf numFmtId="164" fontId="23" fillId="0" borderId="110" xfId="0" applyFont="true" applyBorder="true" applyAlignment="true" applyProtection="false">
      <alignment horizontal="general" vertical="bottom" textRotation="0" wrapText="true" indent="0" shrinkToFit="false"/>
      <protection locked="true" hidden="false"/>
    </xf>
    <xf numFmtId="164" fontId="23" fillId="0" borderId="99" xfId="0" applyFont="true" applyBorder="true" applyAlignment="true" applyProtection="false">
      <alignment horizontal="general" vertical="bottom" textRotation="0" wrapText="true" indent="0" shrinkToFit="false"/>
      <protection locked="true" hidden="false"/>
    </xf>
    <xf numFmtId="164" fontId="14" fillId="0" borderId="99" xfId="0" applyFont="true" applyBorder="true" applyAlignment="true" applyProtection="false">
      <alignment horizontal="general" vertical="bottom" textRotation="0" wrapText="true" indent="0" shrinkToFit="false"/>
      <protection locked="true" hidden="false"/>
    </xf>
    <xf numFmtId="164" fontId="0" fillId="0" borderId="99" xfId="0" applyFont="true" applyBorder="true" applyAlignment="true" applyProtection="false">
      <alignment horizontal="general" vertical="top" textRotation="0" wrapText="true" indent="0" shrinkToFit="false"/>
      <protection locked="true" hidden="false"/>
    </xf>
    <xf numFmtId="164" fontId="69" fillId="0" borderId="0" xfId="0" applyFont="true" applyBorder="false" applyAlignment="true" applyProtection="false">
      <alignment horizontal="general" vertical="bottom" textRotation="0" wrapText="true" indent="0" shrinkToFit="false"/>
      <protection locked="true" hidden="false"/>
    </xf>
    <xf numFmtId="164" fontId="0" fillId="9" borderId="0" xfId="0" applyFont="true" applyBorder="false" applyAlignment="true" applyProtection="false">
      <alignment horizontal="general" vertical="top" textRotation="0" wrapText="true" indent="0" shrinkToFit="false"/>
      <protection locked="true" hidden="false"/>
    </xf>
    <xf numFmtId="164" fontId="19" fillId="0" borderId="110" xfId="0" applyFont="true" applyBorder="true" applyAlignment="true" applyProtection="false">
      <alignment horizontal="general" vertical="bottom" textRotation="0" wrapText="true" indent="0" shrinkToFit="false"/>
      <protection locked="true" hidden="false"/>
    </xf>
    <xf numFmtId="164" fontId="19" fillId="13" borderId="110" xfId="0" applyFont="true" applyBorder="true" applyAlignment="true" applyProtection="false">
      <alignment horizontal="general" vertical="bottom" textRotation="0" wrapText="true" indent="0" shrinkToFit="false"/>
      <protection locked="true" hidden="false"/>
    </xf>
    <xf numFmtId="164" fontId="11" fillId="0" borderId="110" xfId="0" applyFont="true" applyBorder="true" applyAlignment="true" applyProtection="false">
      <alignment horizontal="general" vertical="bottom" textRotation="0" wrapText="true" indent="0" shrinkToFit="false"/>
      <protection locked="true" hidden="false"/>
    </xf>
    <xf numFmtId="164" fontId="17" fillId="0" borderId="110" xfId="0" applyFont="true" applyBorder="true" applyAlignment="true" applyProtection="false">
      <alignment horizontal="general" vertical="bottom" textRotation="0" wrapText="true" indent="0" shrinkToFit="false"/>
      <protection locked="true" hidden="false"/>
    </xf>
    <xf numFmtId="165" fontId="0" fillId="12" borderId="0" xfId="0" applyFont="false" applyBorder="false" applyAlignment="true" applyProtection="false">
      <alignment horizontal="general" vertical="bottom" textRotation="0" wrapText="true" indent="0" shrinkToFit="false"/>
      <protection locked="true" hidden="false"/>
    </xf>
    <xf numFmtId="164" fontId="67" fillId="19" borderId="110" xfId="0" applyFont="true" applyBorder="true" applyAlignment="true" applyProtection="false">
      <alignment horizontal="general" vertical="bottom" textRotation="0" wrapText="true" indent="0" shrinkToFit="false"/>
      <protection locked="true" hidden="false"/>
    </xf>
    <xf numFmtId="164" fontId="0" fillId="12" borderId="110" xfId="0" applyFont="true" applyBorder="true" applyAlignment="true" applyProtection="false">
      <alignment horizontal="general" vertical="bottom" textRotation="0" wrapText="true" indent="0" shrinkToFit="false"/>
      <protection locked="true" hidden="false"/>
    </xf>
    <xf numFmtId="164" fontId="0" fillId="20" borderId="110" xfId="0" applyFont="true" applyBorder="true" applyAlignment="true" applyProtection="false">
      <alignment horizontal="general" vertical="bottom" textRotation="0" wrapText="true" indent="0" shrinkToFit="false"/>
      <protection locked="true" hidden="false"/>
    </xf>
    <xf numFmtId="164" fontId="0" fillId="19" borderId="110" xfId="0" applyFont="true" applyBorder="true" applyAlignment="true" applyProtection="false">
      <alignment horizontal="general" vertical="bottom" textRotation="0" wrapText="true" indent="0" shrinkToFit="false"/>
      <protection locked="true" hidden="false"/>
    </xf>
    <xf numFmtId="165" fontId="69" fillId="7" borderId="0" xfId="0" applyFont="true" applyBorder="false" applyAlignment="true" applyProtection="false">
      <alignment horizontal="general" vertical="bottom" textRotation="0" wrapText="true" indent="0" shrinkToFit="false"/>
      <protection locked="true" hidden="false"/>
    </xf>
    <xf numFmtId="164" fontId="83" fillId="0" borderId="110" xfId="0" applyFont="true" applyBorder="true" applyAlignment="true" applyProtection="false">
      <alignment horizontal="general" vertical="bottom" textRotation="0" wrapText="true" indent="0" shrinkToFit="false"/>
      <protection locked="true" hidden="false"/>
    </xf>
    <xf numFmtId="164" fontId="83" fillId="0" borderId="99" xfId="0" applyFont="true" applyBorder="true" applyAlignment="true" applyProtection="false">
      <alignment horizontal="general" vertical="bottom" textRotation="0" wrapText="true" indent="0" shrinkToFit="false"/>
      <protection locked="true" hidden="false"/>
    </xf>
    <xf numFmtId="164" fontId="84" fillId="0" borderId="110" xfId="0" applyFont="true" applyBorder="true" applyAlignment="true" applyProtection="false">
      <alignment horizontal="general" vertical="bottom" textRotation="0" wrapText="true" indent="0" shrinkToFit="false"/>
      <protection locked="true" hidden="false"/>
    </xf>
    <xf numFmtId="164" fontId="35" fillId="0" borderId="99" xfId="0" applyFont="true" applyBorder="true" applyAlignment="true" applyProtection="false">
      <alignment horizontal="general" vertical="bottom" textRotation="0" wrapText="true" indent="0" shrinkToFit="false"/>
      <protection locked="true" hidden="false"/>
    </xf>
    <xf numFmtId="164" fontId="14" fillId="9" borderId="74" xfId="0" applyFont="true" applyBorder="true" applyAlignment="true" applyProtection="false">
      <alignment horizontal="general" vertical="center" textRotation="0" wrapText="true" indent="0" shrinkToFit="false"/>
      <protection locked="true" hidden="false"/>
    </xf>
    <xf numFmtId="164" fontId="14" fillId="9" borderId="0" xfId="0" applyFont="true" applyBorder="false" applyAlignment="true" applyProtection="false">
      <alignment horizontal="general" vertical="center" textRotation="0" wrapText="true" indent="0" shrinkToFit="false"/>
      <protection locked="true" hidden="false"/>
    </xf>
    <xf numFmtId="164" fontId="14" fillId="9" borderId="75" xfId="0" applyFont="true" applyBorder="true" applyAlignment="true" applyProtection="false">
      <alignment horizontal="general" vertical="center" textRotation="0" wrapText="true" indent="0" shrinkToFit="false"/>
      <protection locked="true" hidden="false"/>
    </xf>
    <xf numFmtId="164" fontId="14" fillId="9" borderId="76" xfId="0" applyFont="true" applyBorder="true" applyAlignment="true" applyProtection="false">
      <alignment horizontal="general" vertical="center" textRotation="0" wrapText="true" indent="0" shrinkToFit="false"/>
      <protection locked="true" hidden="false"/>
    </xf>
    <xf numFmtId="164" fontId="32" fillId="9" borderId="76" xfId="0" applyFont="true" applyBorder="true" applyAlignment="true" applyProtection="false">
      <alignment horizontal="general" vertical="center" textRotation="0" wrapText="true" indent="0" shrinkToFit="false"/>
      <protection locked="true" hidden="false"/>
    </xf>
    <xf numFmtId="164" fontId="14" fillId="13" borderId="76" xfId="0" applyFont="true" applyBorder="true" applyAlignment="true" applyProtection="false">
      <alignment horizontal="general" vertical="center" textRotation="0" wrapText="true" indent="0" shrinkToFit="false"/>
      <protection locked="true" hidden="false"/>
    </xf>
    <xf numFmtId="164" fontId="85" fillId="9" borderId="76" xfId="0" applyFont="true" applyBorder="true" applyAlignment="true" applyProtection="false">
      <alignment horizontal="general" vertical="center" textRotation="0" wrapText="true" indent="0" shrinkToFit="false"/>
      <protection locked="true" hidden="false"/>
    </xf>
    <xf numFmtId="164" fontId="86" fillId="9" borderId="76" xfId="0" applyFont="true" applyBorder="true" applyAlignment="true" applyProtection="false">
      <alignment horizontal="general" vertical="center" textRotation="0" wrapText="true" indent="0" shrinkToFit="false"/>
      <protection locked="true" hidden="false"/>
    </xf>
    <xf numFmtId="164" fontId="14" fillId="9" borderId="77" xfId="0" applyFont="true" applyBorder="true" applyAlignment="true" applyProtection="false">
      <alignment horizontal="general" vertical="center" textRotation="0" wrapText="true" indent="0" shrinkToFit="false"/>
      <protection locked="true" hidden="false"/>
    </xf>
    <xf numFmtId="164" fontId="87" fillId="0" borderId="0" xfId="0" applyFont="true" applyBorder="false" applyAlignment="true" applyProtection="false">
      <alignment horizontal="left" vertical="center" textRotation="0" wrapText="false" indent="1" shrinkToFit="false"/>
      <protection locked="true" hidden="false"/>
    </xf>
    <xf numFmtId="164" fontId="32" fillId="13" borderId="0" xfId="0" applyFont="true" applyBorder="false" applyAlignment="true" applyProtection="false">
      <alignment horizontal="left" vertical="bottom" textRotation="0" wrapText="false" indent="0" shrinkToFit="false"/>
      <protection locked="true" hidden="false"/>
    </xf>
    <xf numFmtId="179" fontId="88" fillId="0" borderId="0" xfId="0" applyFont="true" applyBorder="false" applyAlignment="true" applyProtection="false">
      <alignment horizontal="general" vertical="top" textRotation="0" wrapText="false" indent="0" shrinkToFit="false"/>
      <protection locked="true" hidden="false"/>
    </xf>
    <xf numFmtId="164" fontId="32" fillId="0" borderId="0" xfId="0" applyFont="true" applyBorder="false" applyAlignment="true" applyProtection="false">
      <alignment horizontal="left" vertical="bottom" textRotation="0" wrapText="false" indent="0" shrinkToFit="false"/>
      <protection locked="true" hidden="false"/>
    </xf>
  </cellXfs>
  <cellStyles count="24">
    <cellStyle name="Normal" xfId="0" builtinId="0"/>
    <cellStyle name="Comma" xfId="15" builtinId="3"/>
    <cellStyle name="Comma [0]" xfId="16" builtinId="6"/>
    <cellStyle name="Currency" xfId="17" builtinId="4"/>
    <cellStyle name="Currency [0]" xfId="18" builtinId="7"/>
    <cellStyle name="Percent" xfId="19" builtinId="5"/>
    <cellStyle name="Accent 1 1" xfId="21"/>
    <cellStyle name="Accent 2 1" xfId="22"/>
    <cellStyle name="Accent 3 1" xfId="23"/>
    <cellStyle name="Accent 4" xfId="24"/>
    <cellStyle name="Bad 1" xfId="25"/>
    <cellStyle name="Error 1" xfId="26"/>
    <cellStyle name="Footnote 1" xfId="27"/>
    <cellStyle name="Good 1" xfId="28"/>
    <cellStyle name="Heading 1 1" xfId="29"/>
    <cellStyle name="Heading 2 1" xfId="30"/>
    <cellStyle name="Heading 3" xfId="31"/>
    <cellStyle name="Normal_4. Bilanz Testat" xfId="32"/>
    <cellStyle name="Note 1" xfId="33"/>
    <cellStyle name="Standard 2" xfId="34"/>
    <cellStyle name="Status 1" xfId="35"/>
    <cellStyle name="Text 1" xfId="36"/>
    <cellStyle name="Warning 1" xfId="37"/>
    <cellStyle name="*unknown*" xfId="20" builtinId="8"/>
  </cellStyles>
  <dxfs count="28">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sz val="11"/>
      </font>
      <fill>
        <patternFill>
          <bgColor rgb="FFCC99FF"/>
        </patternFill>
      </fill>
    </dxf>
    <dxf>
      <font>
        <color rgb="FFF20884"/>
      </font>
      <fill>
        <patternFill>
          <bgColor rgb="FFFF99CC"/>
        </patternFill>
      </fill>
    </dxf>
    <dxf>
      <font>
        <color rgb="FFF20884"/>
      </font>
      <fill>
        <patternFill>
          <bgColor rgb="FFFF99CC"/>
        </patternFill>
      </fill>
    </dxf>
    <dxf>
      <font>
        <color rgb="FFFFFFFF"/>
      </font>
      <fill>
        <patternFill>
          <bgColor rgb="FF000000"/>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rgb="FF333300"/>
      </font>
      <fill>
        <patternFill>
          <bgColor rgb="FF333300"/>
        </patternFill>
      </fill>
    </dxf>
    <dxf>
      <font>
        <color rgb="FF99CC00"/>
      </font>
      <fill>
        <patternFill>
          <bgColor rgb="FF99CC00"/>
        </patternFill>
      </fill>
    </dxf>
    <dxf>
      <font>
        <color rgb="FF99CC00"/>
      </font>
      <fill>
        <patternFill>
          <bgColor rgb="FF99CC00"/>
        </patternFill>
      </fill>
    </dxf>
    <dxf>
      <font>
        <color rgb="FFFFFFFF"/>
      </font>
      <fill>
        <patternFill>
          <bgColor rgb="FF000000"/>
        </patternFill>
      </fill>
    </dxf>
    <dxf>
      <font>
        <color rgb="FF99CC00"/>
      </font>
      <fill>
        <patternFill>
          <bgColor rgb="FF99CC00"/>
        </patternFill>
      </fill>
    </dxf>
    <dxf>
      <font>
        <color rgb="FFFFFFFF"/>
      </font>
      <fill>
        <patternFill>
          <bgColor rgb="FF000000"/>
        </patternFill>
      </fill>
    </dxf>
    <dxf>
      <font>
        <color rgb="FF99CC00"/>
      </font>
      <fill>
        <patternFill>
          <bgColor rgb="FF99CC00"/>
        </patternFill>
      </fill>
    </dxf>
    <dxf>
      <font>
        <color rgb="FFFFFFFF"/>
      </font>
      <fill>
        <patternFill>
          <bgColor rgb="FF000000"/>
        </patternFill>
      </fill>
    </dxf>
    <dxf>
      <font>
        <color rgb="FF99CC00"/>
      </font>
      <fill>
        <patternFill>
          <bgColor rgb="FF99CC00"/>
        </patternFill>
      </fill>
    </dxf>
  </dxfs>
  <colors>
    <indexedColors>
      <rgbColor rgb="FF000000"/>
      <rgbColor rgb="FFFFFFFF"/>
      <rgbColor rgb="FFFF0000"/>
      <rgbColor rgb="FF4EE257"/>
      <rgbColor rgb="FF0000D4"/>
      <rgbColor rgb="FFFFFF00"/>
      <rgbColor rgb="FFF20884"/>
      <rgbColor rgb="FF00FFFF"/>
      <rgbColor rgb="FFCC0000"/>
      <rgbColor rgb="FF008000"/>
      <rgbColor rgb="FF000080"/>
      <rgbColor rgb="FF90713A"/>
      <rgbColor rgb="FF800080"/>
      <rgbColor rgb="FF008080"/>
      <rgbColor rgb="FFC0C0C0"/>
      <rgbColor rgb="FF808080"/>
      <rgbColor rgb="FF9999FF"/>
      <rgbColor rgb="FF993366"/>
      <rgbColor rgb="FFFFFFCC"/>
      <rgbColor rgb="FFE6E6E6"/>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DDDDDD"/>
      <rgbColor rgb="FFCCFFCC"/>
      <rgbColor rgb="FFFFCCCC"/>
      <rgbColor rgb="FFA2BD90"/>
      <rgbColor rgb="FFFF99CC"/>
      <rgbColor rgb="FFCC99FF"/>
      <rgbColor rgb="FFFFCC99"/>
      <rgbColor rgb="FF3366FF"/>
      <rgbColor rgb="FF33CC66"/>
      <rgbColor rgb="FF99CC00"/>
      <rgbColor rgb="FFFFCC00"/>
      <rgbColor rgb="FFFF9900"/>
      <rgbColor rgb="FFFF6600"/>
      <rgbColor rgb="FF666699"/>
      <rgbColor rgb="FF969696"/>
      <rgbColor rgb="FF003366"/>
      <rgbColor rgb="FF669999"/>
      <rgbColor rgb="FF006600"/>
      <rgbColor rgb="FF333300"/>
      <rgbColor rgb="FFDD08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388488134918661"/>
          <c:y val="0.338577546080804"/>
          <c:w val="0.221332272026267"/>
          <c:h val="0.320983057158816"/>
        </c:manualLayout>
      </c:layout>
      <c:radarChart>
        <c:radarStyle val="filled"/>
        <c:varyColors val="0"/>
        <c:ser>
          <c:idx val="0"/>
          <c:order val="0"/>
          <c:spPr>
            <a:solidFill>
              <a:srgbClr val="669999"/>
            </a:solidFill>
            <a:ln w="38160">
              <a:solidFill>
                <a:srgbClr val="666699"/>
              </a:solidFill>
              <a:round/>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Values'!$B$18:$B$21</c:f>
              <c:strCache>
                <c:ptCount val="4"/>
                <c:pt idx="0">
                  <c:v>Human dignity</c:v>
                </c:pt>
                <c:pt idx="1">
                  <c:v>Solidarity &amp; social justice</c:v>
                </c:pt>
                <c:pt idx="2">
                  <c:v>Environmental sustainability</c:v>
                </c:pt>
                <c:pt idx="3">
                  <c:v>Transparency &amp; co-determination</c:v>
                </c:pt>
              </c:strCache>
            </c:strRef>
          </c:cat>
          <c:val>
            <c:numRef>
              <c:f>'5. Values'!$G$18:$G$21</c:f>
              <c:numCache>
                <c:formatCode>General</c:formatCode>
                <c:ptCount val="4"/>
                <c:pt idx="0">
                  <c:v>0</c:v>
                </c:pt>
                <c:pt idx="1">
                  <c:v>0</c:v>
                </c:pt>
                <c:pt idx="2">
                  <c:v>0</c:v>
                </c:pt>
                <c:pt idx="3">
                  <c:v>0</c:v>
                </c:pt>
              </c:numCache>
            </c:numRef>
          </c:val>
        </c:ser>
        <c:axId val="94617126"/>
        <c:axId val="54163501"/>
      </c:radarChart>
      <c:catAx>
        <c:axId val="94617126"/>
        <c:scaling>
          <c:orientation val="maxMin"/>
        </c:scaling>
        <c:delete val="0"/>
        <c:axPos val="b"/>
        <c:majorGridlines>
          <c:spPr>
            <a:ln w="3240">
              <a:solidFill>
                <a:srgbClr val="808080"/>
              </a:solidFill>
              <a:round/>
            </a:ln>
          </c:spPr>
        </c:majorGridlines>
        <c:numFmt formatCode="General" sourceLinked="0"/>
        <c:majorTickMark val="out"/>
        <c:minorTickMark val="none"/>
        <c:tickLblPos val="nextTo"/>
        <c:spPr>
          <a:ln w="6480">
            <a:noFill/>
          </a:ln>
        </c:spPr>
        <c:txPr>
          <a:bodyPr/>
          <a:lstStyle/>
          <a:p>
            <a:pPr>
              <a:defRPr b="1" sz="1100" spc="-1" strike="noStrike">
                <a:solidFill>
                  <a:srgbClr val="99cc00"/>
                </a:solidFill>
                <a:latin typeface="Arial"/>
                <a:ea typeface="Arial"/>
              </a:defRPr>
            </a:pPr>
          </a:p>
        </c:txPr>
        <c:crossAx val="54163501"/>
        <c:crossesAt val="0"/>
        <c:auto val="1"/>
        <c:lblAlgn val="ctr"/>
        <c:lblOffset val="100"/>
        <c:noMultiLvlLbl val="0"/>
      </c:catAx>
      <c:valAx>
        <c:axId val="54163501"/>
        <c:scaling>
          <c:orientation val="minMax"/>
          <c:max val="1"/>
          <c:min val="0"/>
        </c:scaling>
        <c:delete val="0"/>
        <c:axPos val="l"/>
        <c:majorGridlines>
          <c:spPr>
            <a:ln w="3240">
              <a:solidFill>
                <a:srgbClr val="a2bd90"/>
              </a:solidFill>
              <a:round/>
            </a:ln>
          </c:spPr>
        </c:majorGridlines>
        <c:numFmt formatCode="0\ %" sourceLinked="0"/>
        <c:majorTickMark val="cross"/>
        <c:minorTickMark val="none"/>
        <c:tickLblPos val="nextTo"/>
        <c:spPr>
          <a:ln w="3240">
            <a:solidFill>
              <a:srgbClr val="808080"/>
            </a:solidFill>
            <a:round/>
          </a:ln>
        </c:spPr>
        <c:txPr>
          <a:bodyPr/>
          <a:lstStyle/>
          <a:p>
            <a:pPr>
              <a:defRPr b="0" sz="1000" spc="-1" strike="noStrike">
                <a:solidFill>
                  <a:srgbClr val="000000"/>
                </a:solidFill>
                <a:latin typeface="Calibri"/>
              </a:defRPr>
            </a:pPr>
          </a:p>
        </c:txPr>
        <c:crossAx val="94617126"/>
        <c:crosses val="autoZero"/>
        <c:crossBetween val="midCat"/>
        <c:majorUnit val="0.2"/>
      </c:valAx>
      <c:spPr>
        <a:noFill/>
        <a:ln w="0">
          <a:noFill/>
        </a:ln>
      </c:spPr>
    </c:plotArea>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372119434060474"/>
          <c:y val="0.375320486312133"/>
          <c:w val="0.231391662329059"/>
          <c:h val="0.3125465222066"/>
        </c:manualLayout>
      </c:layout>
      <c:radarChart>
        <c:radarStyle val="filled"/>
        <c:varyColors val="0"/>
        <c:ser>
          <c:idx val="0"/>
          <c:order val="0"/>
          <c:spPr>
            <a:solidFill>
              <a:srgbClr val="669999"/>
            </a:solidFill>
            <a:ln w="38160">
              <a:solidFill>
                <a:srgbClr val="666699"/>
              </a:solidFill>
              <a:round/>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Stakeholder'!$B$18:$B$22</c:f>
              <c:strCache>
                <c:ptCount val="5"/>
                <c:pt idx="0">
                  <c:v>Suppliers</c:v>
                </c:pt>
                <c:pt idx="1">
                  <c:v>Owners, equity- and financial service providers</c:v>
                </c:pt>
                <c:pt idx="2">
                  <c:v>Employees</c:v>
                </c:pt>
                <c:pt idx="3">
                  <c:v>Customers and other companies</c:v>
                </c:pt>
                <c:pt idx="4">
                  <c:v>Social environment</c:v>
                </c:pt>
              </c:strCache>
            </c:strRef>
          </c:cat>
          <c:val>
            <c:numRef>
              <c:f>'6. Stakeholder'!$G$18:$G$22</c:f>
              <c:numCache>
                <c:formatCode>General</c:formatCode>
                <c:ptCount val="5"/>
                <c:pt idx="0">
                  <c:v>0</c:v>
                </c:pt>
                <c:pt idx="1">
                  <c:v>0.037037037037037</c:v>
                </c:pt>
                <c:pt idx="2">
                  <c:v>0</c:v>
                </c:pt>
                <c:pt idx="3">
                  <c:v>0</c:v>
                </c:pt>
                <c:pt idx="4">
                  <c:v>0</c:v>
                </c:pt>
              </c:numCache>
            </c:numRef>
          </c:val>
        </c:ser>
        <c:axId val="34841155"/>
        <c:axId val="80809894"/>
      </c:radarChart>
      <c:catAx>
        <c:axId val="34841155"/>
        <c:scaling>
          <c:orientation val="maxMin"/>
        </c:scaling>
        <c:delete val="0"/>
        <c:axPos val="b"/>
        <c:majorGridlines>
          <c:spPr>
            <a:ln w="3240">
              <a:solidFill>
                <a:srgbClr val="808080"/>
              </a:solidFill>
              <a:round/>
            </a:ln>
          </c:spPr>
        </c:majorGridlines>
        <c:numFmt formatCode="General" sourceLinked="0"/>
        <c:majorTickMark val="out"/>
        <c:minorTickMark val="none"/>
        <c:tickLblPos val="nextTo"/>
        <c:spPr>
          <a:ln w="6480">
            <a:noFill/>
          </a:ln>
        </c:spPr>
        <c:txPr>
          <a:bodyPr/>
          <a:lstStyle/>
          <a:p>
            <a:pPr>
              <a:defRPr b="1" sz="1100" spc="-1" strike="noStrike">
                <a:solidFill>
                  <a:srgbClr val="99cc00"/>
                </a:solidFill>
                <a:latin typeface="Arial"/>
                <a:ea typeface="Arial"/>
              </a:defRPr>
            </a:pPr>
          </a:p>
        </c:txPr>
        <c:crossAx val="80809894"/>
        <c:crossesAt val="0"/>
        <c:auto val="1"/>
        <c:lblAlgn val="ctr"/>
        <c:lblOffset val="100"/>
        <c:noMultiLvlLbl val="0"/>
      </c:catAx>
      <c:valAx>
        <c:axId val="80809894"/>
        <c:scaling>
          <c:orientation val="minMax"/>
          <c:max val="1"/>
          <c:min val="0"/>
        </c:scaling>
        <c:delete val="0"/>
        <c:axPos val="l"/>
        <c:majorGridlines>
          <c:spPr>
            <a:ln w="3240">
              <a:solidFill>
                <a:srgbClr val="a2bd90"/>
              </a:solidFill>
              <a:round/>
            </a:ln>
          </c:spPr>
        </c:majorGridlines>
        <c:numFmt formatCode="0\ %" sourceLinked="0"/>
        <c:majorTickMark val="cross"/>
        <c:minorTickMark val="none"/>
        <c:tickLblPos val="nextTo"/>
        <c:spPr>
          <a:ln w="3240">
            <a:solidFill>
              <a:srgbClr val="808080"/>
            </a:solidFill>
            <a:round/>
          </a:ln>
        </c:spPr>
        <c:txPr>
          <a:bodyPr/>
          <a:lstStyle/>
          <a:p>
            <a:pPr>
              <a:defRPr b="0" sz="1000" spc="-1" strike="noStrike">
                <a:solidFill>
                  <a:srgbClr val="000000"/>
                </a:solidFill>
                <a:latin typeface="Calibri"/>
              </a:defRPr>
            </a:pPr>
          </a:p>
        </c:txPr>
        <c:crossAx val="34841155"/>
        <c:crosses val="autoZero"/>
        <c:crossBetween val="midCat"/>
        <c:majorUnit val="0.2"/>
      </c:valAx>
      <c:spPr>
        <a:noFill/>
        <a:ln w="0">
          <a:noFill/>
        </a:ln>
      </c:spPr>
    </c:plotArea>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290547061512673"/>
          <c:y val="0.237298115746972"/>
          <c:w val="0.403565804845837"/>
          <c:h val="0.520945491251682"/>
        </c:manualLayout>
      </c:layout>
      <c:radarChart>
        <c:radarStyle val="filled"/>
        <c:varyColors val="0"/>
        <c:ser>
          <c:idx val="0"/>
          <c:order val="0"/>
          <c:spPr>
            <a:solidFill>
              <a:srgbClr val="669999"/>
            </a:solidFill>
            <a:ln w="38160">
              <a:solidFill>
                <a:srgbClr val="666699"/>
              </a:solidFill>
              <a:round/>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'7. Topics'!$B$18:$B$37</c:f>
              <c:strCache>
                <c:ptCount val="20"/>
                <c:pt idx="0">
                  <c:v>A1</c:v>
                </c:pt>
                <c:pt idx="1">
                  <c:v>A2</c:v>
                </c:pt>
                <c:pt idx="2">
                  <c:v>A3</c:v>
                </c:pt>
                <c:pt idx="3">
                  <c:v>A4</c:v>
                </c:pt>
                <c:pt idx="4">
                  <c:v>B1</c:v>
                </c:pt>
                <c:pt idx="5">
                  <c:v>B2</c:v>
                </c:pt>
                <c:pt idx="6">
                  <c:v>B3</c:v>
                </c:pt>
                <c:pt idx="7">
                  <c:v>B4</c:v>
                </c:pt>
                <c:pt idx="8">
                  <c:v>C1</c:v>
                </c:pt>
                <c:pt idx="9">
                  <c:v>C2</c:v>
                </c:pt>
                <c:pt idx="10">
                  <c:v>C3</c:v>
                </c:pt>
                <c:pt idx="11">
                  <c:v>C4</c:v>
                </c:pt>
                <c:pt idx="12">
                  <c:v>D1</c:v>
                </c:pt>
                <c:pt idx="13">
                  <c:v>D2</c:v>
                </c:pt>
                <c:pt idx="14">
                  <c:v>D3</c:v>
                </c:pt>
                <c:pt idx="15">
                  <c:v>D4</c:v>
                </c:pt>
                <c:pt idx="16">
                  <c:v>E1</c:v>
                </c:pt>
                <c:pt idx="17">
                  <c:v>E2</c:v>
                </c:pt>
                <c:pt idx="18">
                  <c:v>E3</c:v>
                </c:pt>
                <c:pt idx="19">
                  <c:v>E4</c:v>
                </c:pt>
              </c:strCache>
            </c:strRef>
          </c:cat>
          <c:val>
            <c:numRef>
              <c:f>'7. Topics'!$G$18:$G$37</c:f>
              <c:numCache>
                <c:formatCode>General</c:formatCode>
                <c:ptCount val="20"/>
                <c:pt idx="0">
                  <c:v>0</c:v>
                </c:pt>
                <c:pt idx="1">
                  <c:v>0</c:v>
                </c:pt>
                <c:pt idx="2">
                  <c:v>0.1</c:v>
                </c:pt>
                <c:pt idx="3">
                  <c:v>0</c:v>
                </c:pt>
                <c:pt idx="4">
                  <c:v>0.166666666666667</c:v>
                </c:pt>
                <c:pt idx="5">
                  <c:v>0</c:v>
                </c:pt>
                <c:pt idx="6">
                  <c:v>0</c:v>
                </c:pt>
                <c:pt idx="7">
                  <c:v>0</c:v>
                </c:pt>
                <c:pt idx="8">
                  <c:v>0.0333333333333333</c:v>
                </c:pt>
                <c:pt idx="9">
                  <c:v>0</c:v>
                </c:pt>
                <c:pt idx="10">
                  <c:v>0</c:v>
                </c:pt>
                <c:pt idx="11">
                  <c:v>0</c:v>
                </c:pt>
                <c:pt idx="12">
                  <c:v>0</c:v>
                </c:pt>
                <c:pt idx="13">
                  <c:v>0</c:v>
                </c:pt>
                <c:pt idx="14">
                  <c:v>0</c:v>
                </c:pt>
                <c:pt idx="15">
                  <c:v>0</c:v>
                </c:pt>
                <c:pt idx="16">
                  <c:v>0</c:v>
                </c:pt>
                <c:pt idx="17">
                  <c:v>0</c:v>
                </c:pt>
                <c:pt idx="18">
                  <c:v>0</c:v>
                </c:pt>
                <c:pt idx="19">
                  <c:v>0.05</c:v>
                </c:pt>
              </c:numCache>
            </c:numRef>
          </c:val>
        </c:ser>
        <c:axId val="4909214"/>
        <c:axId val="8453503"/>
      </c:radarChart>
      <c:catAx>
        <c:axId val="4909214"/>
        <c:scaling>
          <c:orientation val="maxMin"/>
        </c:scaling>
        <c:delete val="0"/>
        <c:axPos val="b"/>
        <c:majorGridlines>
          <c:spPr>
            <a:ln w="3240">
              <a:solidFill>
                <a:srgbClr val="808080"/>
              </a:solidFill>
              <a:round/>
            </a:ln>
          </c:spPr>
        </c:majorGridlines>
        <c:numFmt formatCode="General" sourceLinked="0"/>
        <c:majorTickMark val="out"/>
        <c:minorTickMark val="none"/>
        <c:tickLblPos val="nextTo"/>
        <c:spPr>
          <a:ln w="6480">
            <a:noFill/>
          </a:ln>
        </c:spPr>
        <c:txPr>
          <a:bodyPr/>
          <a:lstStyle/>
          <a:p>
            <a:pPr>
              <a:defRPr b="1" sz="1100" spc="-1" strike="noStrike">
                <a:solidFill>
                  <a:srgbClr val="99cc00"/>
                </a:solidFill>
                <a:latin typeface="Arial"/>
                <a:ea typeface="Arial"/>
              </a:defRPr>
            </a:pPr>
          </a:p>
        </c:txPr>
        <c:crossAx val="8453503"/>
        <c:crossesAt val="0"/>
        <c:auto val="1"/>
        <c:lblAlgn val="ctr"/>
        <c:lblOffset val="100"/>
        <c:noMultiLvlLbl val="0"/>
      </c:catAx>
      <c:valAx>
        <c:axId val="8453503"/>
        <c:scaling>
          <c:orientation val="minMax"/>
          <c:max val="1"/>
          <c:min val="0"/>
        </c:scaling>
        <c:delete val="0"/>
        <c:axPos val="l"/>
        <c:majorGridlines>
          <c:spPr>
            <a:ln w="3240">
              <a:solidFill>
                <a:srgbClr val="a2bd90"/>
              </a:solidFill>
              <a:round/>
            </a:ln>
          </c:spPr>
        </c:majorGridlines>
        <c:numFmt formatCode="0\ %" sourceLinked="0"/>
        <c:majorTickMark val="cross"/>
        <c:minorTickMark val="none"/>
        <c:tickLblPos val="nextTo"/>
        <c:spPr>
          <a:ln w="3240">
            <a:solidFill>
              <a:srgbClr val="808080"/>
            </a:solidFill>
            <a:round/>
          </a:ln>
        </c:spPr>
        <c:txPr>
          <a:bodyPr/>
          <a:lstStyle/>
          <a:p>
            <a:pPr>
              <a:defRPr b="0" sz="1000" spc="-1" strike="noStrike">
                <a:solidFill>
                  <a:srgbClr val="000000"/>
                </a:solidFill>
                <a:latin typeface="Calibri"/>
              </a:defRPr>
            </a:pPr>
          </a:p>
        </c:txPr>
        <c:crossAx val="4909214"/>
        <c:crosses val="autoZero"/>
        <c:crossBetween val="midCat"/>
        <c:majorUnit val="0.2"/>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55.png"/>
</Relationships>
</file>

<file path=xl/drawings/_rels/drawing2.xml.rels><?xml version="1.0" encoding="UTF-8"?>
<Relationships xmlns="http://schemas.openxmlformats.org/package/2006/relationships"><Relationship Id="rId1" Type="http://schemas.openxmlformats.org/officeDocument/2006/relationships/image" Target="../media/image56.png"/>
</Relationships>
</file>

<file path=xl/drawings/_rels/drawing3.xml.rels><?xml version="1.0" encoding="UTF-8"?>
<Relationships xmlns="http://schemas.openxmlformats.org/package/2006/relationships"><Relationship Id="rId1" Type="http://schemas.openxmlformats.org/officeDocument/2006/relationships/chart" Target="../charts/chart28.xml"/><Relationship Id="rId2" Type="http://schemas.openxmlformats.org/officeDocument/2006/relationships/image" Target="../media/image57.png"/>
</Relationships>
</file>

<file path=xl/drawings/_rels/drawing4.xml.rels><?xml version="1.0" encoding="UTF-8"?>
<Relationships xmlns="http://schemas.openxmlformats.org/package/2006/relationships"><Relationship Id="rId1" Type="http://schemas.openxmlformats.org/officeDocument/2006/relationships/chart" Target="../charts/chart29.xml"/><Relationship Id="rId2" Type="http://schemas.openxmlformats.org/officeDocument/2006/relationships/image" Target="../media/image58.png"/>
</Relationships>
</file>

<file path=xl/drawings/_rels/drawing5.xml.rels><?xml version="1.0" encoding="UTF-8"?>
<Relationships xmlns="http://schemas.openxmlformats.org/package/2006/relationships"><Relationship Id="rId1" Type="http://schemas.openxmlformats.org/officeDocument/2006/relationships/chart" Target="../charts/chart30.xml"/><Relationship Id="rId2" Type="http://schemas.openxmlformats.org/officeDocument/2006/relationships/image" Target="../media/image59.png"/>
</Relationships>
</file>

<file path=xl/drawings/_rels/drawing6.xml.rels><?xml version="1.0" encoding="UTF-8"?>
<Relationships xmlns="http://schemas.openxmlformats.org/package/2006/relationships"><Relationship Id="rId1" Type="http://schemas.openxmlformats.org/officeDocument/2006/relationships/image" Target="../media/image6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1409760</xdr:colOff>
      <xdr:row>0</xdr:row>
      <xdr:rowOff>0</xdr:rowOff>
    </xdr:from>
    <xdr:to>
      <xdr:col>3</xdr:col>
      <xdr:colOff>4428720</xdr:colOff>
      <xdr:row>2</xdr:row>
      <xdr:rowOff>28080</xdr:rowOff>
    </xdr:to>
    <xdr:pic>
      <xdr:nvPicPr>
        <xdr:cNvPr id="0" name="Picture 44" descr="ECG_EN-screen.png"/>
        <xdr:cNvPicPr/>
      </xdr:nvPicPr>
      <xdr:blipFill>
        <a:blip r:embed="rId1"/>
        <a:stretch/>
      </xdr:blipFill>
      <xdr:spPr>
        <a:xfrm>
          <a:off x="4216320" y="0"/>
          <a:ext cx="3018960" cy="9234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9360</xdr:colOff>
      <xdr:row>1</xdr:row>
      <xdr:rowOff>66600</xdr:rowOff>
    </xdr:from>
    <xdr:to>
      <xdr:col>18</xdr:col>
      <xdr:colOff>9000</xdr:colOff>
      <xdr:row>5</xdr:row>
      <xdr:rowOff>56880</xdr:rowOff>
    </xdr:to>
    <xdr:pic>
      <xdr:nvPicPr>
        <xdr:cNvPr id="1" name="Picture 44" descr="ECG_EN-screen.png"/>
        <xdr:cNvPicPr/>
      </xdr:nvPicPr>
      <xdr:blipFill>
        <a:blip r:embed="rId1"/>
        <a:stretch/>
      </xdr:blipFill>
      <xdr:spPr>
        <a:xfrm>
          <a:off x="10728000" y="228600"/>
          <a:ext cx="2489760" cy="5713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9360</xdr:colOff>
      <xdr:row>4</xdr:row>
      <xdr:rowOff>76320</xdr:rowOff>
    </xdr:from>
    <xdr:to>
      <xdr:col>5</xdr:col>
      <xdr:colOff>856800</xdr:colOff>
      <xdr:row>15</xdr:row>
      <xdr:rowOff>761760</xdr:rowOff>
    </xdr:to>
    <xdr:graphicFrame>
      <xdr:nvGraphicFramePr>
        <xdr:cNvPr id="2" name="Chart 1"/>
        <xdr:cNvGraphicFramePr/>
      </xdr:nvGraphicFramePr>
      <xdr:xfrm>
        <a:off x="9360" y="704880"/>
        <a:ext cx="7236000" cy="3866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1</xdr:col>
      <xdr:colOff>0</xdr:colOff>
      <xdr:row>1</xdr:row>
      <xdr:rowOff>38160</xdr:rowOff>
    </xdr:from>
    <xdr:to>
      <xdr:col>1</xdr:col>
      <xdr:colOff>504360</xdr:colOff>
      <xdr:row>3</xdr:row>
      <xdr:rowOff>142560</xdr:rowOff>
    </xdr:to>
    <xdr:pic>
      <xdr:nvPicPr>
        <xdr:cNvPr id="3" name="Grafik 3" descr=""/>
        <xdr:cNvPicPr/>
      </xdr:nvPicPr>
      <xdr:blipFill>
        <a:blip r:embed="rId2"/>
        <a:stretch/>
      </xdr:blipFill>
      <xdr:spPr>
        <a:xfrm>
          <a:off x="241200" y="209520"/>
          <a:ext cx="504360" cy="3711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3</xdr:row>
      <xdr:rowOff>85680</xdr:rowOff>
    </xdr:from>
    <xdr:to>
      <xdr:col>5</xdr:col>
      <xdr:colOff>977400</xdr:colOff>
      <xdr:row>15</xdr:row>
      <xdr:rowOff>1066320</xdr:rowOff>
    </xdr:to>
    <xdr:graphicFrame>
      <xdr:nvGraphicFramePr>
        <xdr:cNvPr id="4" name="Chart 1"/>
        <xdr:cNvGraphicFramePr/>
      </xdr:nvGraphicFramePr>
      <xdr:xfrm>
        <a:off x="152280" y="523800"/>
        <a:ext cx="7607520" cy="4352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0</xdr:col>
      <xdr:colOff>142920</xdr:colOff>
      <xdr:row>0</xdr:row>
      <xdr:rowOff>123840</xdr:rowOff>
    </xdr:from>
    <xdr:to>
      <xdr:col>1</xdr:col>
      <xdr:colOff>437760</xdr:colOff>
      <xdr:row>3</xdr:row>
      <xdr:rowOff>47160</xdr:rowOff>
    </xdr:to>
    <xdr:pic>
      <xdr:nvPicPr>
        <xdr:cNvPr id="5" name="Grafik 3" descr=""/>
        <xdr:cNvPicPr/>
      </xdr:nvPicPr>
      <xdr:blipFill>
        <a:blip r:embed="rId2"/>
        <a:stretch/>
      </xdr:blipFill>
      <xdr:spPr>
        <a:xfrm>
          <a:off x="142920" y="123840"/>
          <a:ext cx="536040" cy="3614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38160</xdr:colOff>
      <xdr:row>3</xdr:row>
      <xdr:rowOff>95400</xdr:rowOff>
    </xdr:from>
    <xdr:to>
      <xdr:col>5</xdr:col>
      <xdr:colOff>977760</xdr:colOff>
      <xdr:row>15</xdr:row>
      <xdr:rowOff>1002960</xdr:rowOff>
    </xdr:to>
    <xdr:graphicFrame>
      <xdr:nvGraphicFramePr>
        <xdr:cNvPr id="6" name="Chart 1"/>
        <xdr:cNvGraphicFramePr/>
      </xdr:nvGraphicFramePr>
      <xdr:xfrm>
        <a:off x="279360" y="533520"/>
        <a:ext cx="7086960" cy="4279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0</xdr:col>
      <xdr:colOff>133200</xdr:colOff>
      <xdr:row>0</xdr:row>
      <xdr:rowOff>123840</xdr:rowOff>
    </xdr:from>
    <xdr:to>
      <xdr:col>1</xdr:col>
      <xdr:colOff>456840</xdr:colOff>
      <xdr:row>3</xdr:row>
      <xdr:rowOff>47160</xdr:rowOff>
    </xdr:to>
    <xdr:pic>
      <xdr:nvPicPr>
        <xdr:cNvPr id="7" name="Grafik 3" descr=""/>
        <xdr:cNvPicPr/>
      </xdr:nvPicPr>
      <xdr:blipFill>
        <a:blip r:embed="rId2"/>
        <a:stretch/>
      </xdr:blipFill>
      <xdr:spPr>
        <a:xfrm>
          <a:off x="133200" y="123840"/>
          <a:ext cx="564840" cy="36144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5667480</xdr:colOff>
      <xdr:row>0</xdr:row>
      <xdr:rowOff>152280</xdr:rowOff>
    </xdr:from>
    <xdr:to>
      <xdr:col>2</xdr:col>
      <xdr:colOff>5676480</xdr:colOff>
      <xdr:row>1</xdr:row>
      <xdr:rowOff>151920</xdr:rowOff>
    </xdr:to>
    <xdr:pic>
      <xdr:nvPicPr>
        <xdr:cNvPr id="8" name="Grafik 3" descr=""/>
        <xdr:cNvPicPr/>
      </xdr:nvPicPr>
      <xdr:blipFill>
        <a:blip r:embed="rId1"/>
        <a:stretch/>
      </xdr:blipFill>
      <xdr:spPr>
        <a:xfrm>
          <a:off x="8741520" y="152280"/>
          <a:ext cx="9000" cy="41868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hyperlink" Target="http://data.worldbank.org/indicator/NY.GDP.MKTP.PP.CD" TargetMode="External"/>
</Relationships>
</file>

<file path=xl/worksheets/_rels/sheet14.xml.rels><?xml version="1.0" encoding="UTF-8"?>
<Relationships xmlns="http://schemas.openxmlformats.org/package/2006/relationships"><Relationship Id="rId1" Type="http://schemas.openxmlformats.org/officeDocument/2006/relationships/hyperlink" Target="mailto:info@economia-del-ben-comune.it" TargetMode="External"/><Relationship Id="rId2" Type="http://schemas.openxmlformats.org/officeDocument/2006/relationships/hyperlink" Target="mailto:nodo-empresas@economia-del-bien-comun.es" TargetMode="External"/><Relationship Id="rId3" Type="http://schemas.openxmlformats.org/officeDocument/2006/relationships/hyperlink" Target="mailto:audit@febc.eu" TargetMode="External"/><Relationship Id="rId4" Type="http://schemas.openxmlformats.org/officeDocument/2006/relationships/hyperlink" Target="mailto:nodo-empresas@economia-del-bien-comun.es" TargetMode="External"/><Relationship Id="rId5" Type="http://schemas.openxmlformats.org/officeDocument/2006/relationships/hyperlink" Target="mailto:bilanz@ecogood.org" TargetMode="External"/><Relationship Id="rId6" Type="http://schemas.openxmlformats.org/officeDocument/2006/relationships/hyperlink" Target="mailto:bilanz@ecogood.org" TargetMode="External"/><Relationship Id="rId7" Type="http://schemas.openxmlformats.org/officeDocument/2006/relationships/hyperlink" Target="mailto:christian.loy@gmx.at" TargetMode="External"/><Relationship Id="rId8" Type="http://schemas.openxmlformats.org/officeDocument/2006/relationships/hyperlink" Target="mailto:christian.loy@gmx.at" TargetMode="External"/><Relationship Id="rId9" Type="http://schemas.openxmlformats.org/officeDocument/2006/relationships/hyperlink" Target="mailto:christian.loy@gmx.a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42"/>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E12" activeCellId="0" sqref="E12"/>
    </sheetView>
  </sheetViews>
  <sheetFormatPr defaultColWidth="10.71484375" defaultRowHeight="12.75" zeroHeight="false" outlineLevelRow="0" outlineLevelCol="0"/>
  <cols>
    <col collapsed="false" customWidth="true" hidden="false" outlineLevel="0" max="1" min="1" style="1" width="2.71"/>
    <col collapsed="false" customWidth="true" hidden="false" outlineLevel="0" max="2" min="2" style="1" width="11"/>
    <col collapsed="false" customWidth="true" hidden="false" outlineLevel="0" max="3" min="3" style="1" width="17.85"/>
    <col collapsed="false" customWidth="true" hidden="false" outlineLevel="0" max="4" min="4" style="1" width="66.86"/>
    <col collapsed="false" customWidth="false" hidden="false" outlineLevel="0" max="12" min="5" style="1" width="10.71"/>
    <col collapsed="false" customWidth="false" hidden="true" outlineLevel="0" max="13" min="13" style="1" width="10.71"/>
    <col collapsed="false" customWidth="false" hidden="false" outlineLevel="0" max="1024" min="14" style="1" width="10.71"/>
  </cols>
  <sheetData>
    <row r="1" customFormat="false" ht="29.25" hidden="false" customHeight="true" outlineLevel="0" collapsed="false">
      <c r="A1" s="2"/>
      <c r="B1" s="3" t="s">
        <v>0</v>
      </c>
      <c r="C1" s="3"/>
    </row>
    <row r="2" customFormat="false" ht="41.25" hidden="false" customHeight="true" outlineLevel="0" collapsed="false">
      <c r="A2" s="2"/>
      <c r="B2" s="4" t="str">
        <f aca="false">'12.lan'!D4</f>
        <v>BALANCE SHEET CALCULATOR</v>
      </c>
      <c r="C2" s="4"/>
      <c r="D2" s="4"/>
      <c r="M2" s="1" t="str">
        <f aca="false">IF('12.lan'!B2="","",'12.lan'!B2)</f>
        <v>Select your language</v>
      </c>
    </row>
    <row r="3" customFormat="false" ht="12.75" hidden="false" customHeight="true" outlineLevel="0" collapsed="false">
      <c r="A3" s="2"/>
      <c r="B3" s="5" t="str">
        <f aca="false">'12.lan'!D6</f>
        <v>Version</v>
      </c>
      <c r="C3" s="6" t="s">
        <v>1</v>
      </c>
      <c r="M3" s="1" t="str">
        <f aca="false">IF('12.lan'!B3="","",'12.lan'!B3)</f>
        <v>Deutsch</v>
      </c>
    </row>
    <row r="4" customFormat="false" ht="14.25" hidden="false" customHeight="true" outlineLevel="0" collapsed="false">
      <c r="A4" s="2"/>
      <c r="B4" s="2"/>
      <c r="C4" s="2"/>
      <c r="D4" s="2"/>
      <c r="M4" s="1" t="str">
        <f aca="false">IF('12.lan'!B4="","",'12.lan'!B4)</f>
        <v>Italiano</v>
      </c>
    </row>
    <row r="5" customFormat="false" ht="18.75" hidden="false" customHeight="true" outlineLevel="0" collapsed="false">
      <c r="A5" s="2"/>
      <c r="B5" s="7" t="str">
        <f aca="false">'12.lan'!D7</f>
        <v>WELCOME!</v>
      </c>
      <c r="C5" s="7"/>
      <c r="D5" s="7"/>
      <c r="M5" s="1" t="str">
        <f aca="false">IF('12.lan'!B5="","",'12.lan'!B5)</f>
        <v>English</v>
      </c>
    </row>
    <row r="6" customFormat="false" ht="47.25" hidden="false" customHeight="true" outlineLevel="0" collapsed="false">
      <c r="A6" s="2"/>
      <c r="B6" s="8" t="str">
        <f aca="false">'12.lan'!D8</f>
        <v>This tool is for calculating the overall Common Good Points for your company or organisation. It complements the Common Good Report and has to be used together with it. Have fun with your calculation!</v>
      </c>
      <c r="C6" s="8"/>
      <c r="D6" s="8"/>
      <c r="M6" s="1" t="str">
        <f aca="false">IF('12.lan'!B6="","",'12.lan'!B6)</f>
        <v>Español</v>
      </c>
    </row>
    <row r="7" customFormat="false" ht="24" hidden="false" customHeight="true" outlineLevel="0" collapsed="false">
      <c r="A7" s="2"/>
      <c r="B7" s="2"/>
      <c r="C7" s="2"/>
      <c r="D7" s="2"/>
      <c r="M7" s="1" t="str">
        <f aca="false">IF('12.lan'!B7="","",'12.lan'!B7)</f>
        <v>Francais</v>
      </c>
    </row>
    <row r="8" customFormat="false" ht="18.75" hidden="false" customHeight="true" outlineLevel="0" collapsed="false">
      <c r="A8" s="2"/>
      <c r="B8" s="7" t="str">
        <f aca="false">'12.lan'!D9</f>
        <v>HOW TO USE THE BALANCE SHEET CALCULATOR:</v>
      </c>
      <c r="C8" s="7"/>
      <c r="D8" s="7"/>
      <c r="M8" s="1" t="str">
        <f aca="false">IF('12.lan'!B8="","",'12.lan'!B8)</f>
        <v/>
      </c>
    </row>
    <row r="9" customFormat="false" ht="29.25" hidden="false" customHeight="true" outlineLevel="0" collapsed="false">
      <c r="A9" s="2"/>
      <c r="B9" s="9" t="str">
        <f aca="false">'12.lan'!D10</f>
        <v>1. General</v>
      </c>
      <c r="C9" s="9"/>
      <c r="D9" s="10" t="str">
        <f aca="false">'12.lan'!D11</f>
        <v>You can enter general information about your company or organisation in this section.</v>
      </c>
      <c r="M9" s="1" t="str">
        <f aca="false">IF('12.lan'!B9="","",'12.lan'!B9)</f>
        <v/>
      </c>
    </row>
    <row r="10" customFormat="false" ht="37.5" hidden="false" customHeight="true" outlineLevel="0" collapsed="false">
      <c r="A10" s="2"/>
      <c r="B10" s="11" t="str">
        <f aca="false">'12.lan'!D28</f>
        <v>2. Company details</v>
      </c>
      <c r="C10" s="11"/>
      <c r="D10" s="10" t="str">
        <f aca="false">'12.lan'!D12</f>
        <v>All fields in this section must be completed as they are essential for the weighting of each theme.</v>
      </c>
      <c r="M10" s="1" t="str">
        <f aca="false">IF('12.lan'!B10="","",'12.lan'!B10)</f>
        <v/>
      </c>
    </row>
    <row r="11" customFormat="false" ht="48" hidden="false" customHeight="true" outlineLevel="0" collapsed="false">
      <c r="A11" s="2"/>
      <c r="B11" s="11" t="str">
        <f aca="false">'12.lan'!D29</f>
        <v>3. Scoring</v>
      </c>
      <c r="C11" s="11"/>
      <c r="D11" s="10" t="str">
        <f aca="false">'12.lan'!D13</f>
        <v>For each theme (A1, B1, ...) a certain maximum number of Common Good Points can be achieved. To evaluate how many points your company scores, follow these steps:</v>
      </c>
      <c r="M11" s="1" t="str">
        <f aca="false">IF('12.lan'!B11="","",'12.lan'!B11)</f>
        <v/>
      </c>
    </row>
    <row r="12" customFormat="false" ht="59.25" hidden="false" customHeight="true" outlineLevel="0" collapsed="false">
      <c r="A12" s="2"/>
      <c r="B12" s="12" t="s">
        <v>2</v>
      </c>
      <c r="C12" s="12"/>
      <c r="D12" s="10" t="str">
        <f aca="false">'12.lan'!D14</f>
        <v>Describe the current status and potential for improvement for the various aspects under key headings. Use the workbook as a reference. (This is optional and not absolutely necessary for the calculation.)</v>
      </c>
      <c r="M12" s="1" t="str">
        <f aca="false">IF('12.lan'!B12="","",'12.lan'!B12)</f>
        <v/>
      </c>
    </row>
    <row r="13" customFormat="false" ht="61.5" hidden="false" customHeight="true" outlineLevel="0" collapsed="false">
      <c r="A13" s="2"/>
      <c r="B13" s="12" t="s">
        <v>3</v>
      </c>
      <c r="C13" s="12"/>
      <c r="D13" s="10" t="str">
        <f aca="false">'12.lan'!D15</f>
        <v>Based on these descriptions, indicate on a scale of 0-10 how far you consider the respective aspect is met (Achievement level). The criteria for choosing the correct value can be found in the Workbook.</v>
      </c>
    </row>
    <row r="14" customFormat="false" ht="33" hidden="false" customHeight="true" outlineLevel="0" collapsed="false">
      <c r="A14" s="2"/>
      <c r="B14" s="12" t="s">
        <v>4</v>
      </c>
      <c r="C14" s="12"/>
      <c r="D14" s="10" t="str">
        <f aca="false">'12.lan'!D16</f>
        <v>Negative aspects are allocated negative points according to the descriptions set out in the Workbook.</v>
      </c>
    </row>
    <row r="15" customFormat="false" ht="100.5" hidden="false" customHeight="true" outlineLevel="0" collapsed="false">
      <c r="A15" s="2"/>
      <c r="B15" s="12" t="s">
        <v>5</v>
      </c>
      <c r="C15" s="12"/>
      <c r="D15" s="13" t="str">
        <f aca="false">'12.lan'!D17</f>
        <v>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v>
      </c>
    </row>
    <row r="16" customFormat="false" ht="48" hidden="false" customHeight="true" outlineLevel="0" collapsed="false">
      <c r="A16" s="2"/>
      <c r="B16" s="12" t="s">
        <v>6</v>
      </c>
      <c r="C16" s="12"/>
      <c r="D16" s="10" t="str">
        <f aca="false">'12.lan'!D18</f>
        <v>The calculation automatically weights each theme’s total value against the data in the ‘Company details’ section and rounds it to a whole-number multiple of 10%.</v>
      </c>
    </row>
    <row r="17" customFormat="false" ht="72.75" hidden="false" customHeight="true" outlineLevel="0" collapsed="false">
      <c r="A17" s="2"/>
      <c r="B17" s="12" t="s">
        <v>7</v>
      </c>
      <c r="C17" s="12"/>
      <c r="D17" s="10" t="str">
        <f aca="false">'12.lan'!D45</f>
        <v>The format of the numbers is usually rounded to facilitate the visualization but the numbers are not actually rounded. You may see for example that an aspect is 1 (real value 1,3) and other 1 (real value 1,4) but the sum of the two aspects is 3 (real value 2,7)</v>
      </c>
    </row>
    <row r="18" customFormat="false" ht="18.75" hidden="false" customHeight="true" outlineLevel="0" collapsed="false">
      <c r="A18" s="2"/>
      <c r="B18" s="11" t="str">
        <f aca="false">'12.lan'!D30</f>
        <v>4. ECG Matrix</v>
      </c>
      <c r="C18" s="11"/>
      <c r="D18" s="10" t="str">
        <f aca="false">'12.lan'!D19</f>
        <v>The ECG-Matrix displays your result in a table.</v>
      </c>
    </row>
    <row r="19" customFormat="false" ht="32.25" hidden="false" customHeight="true" outlineLevel="0" collapsed="false">
      <c r="A19" s="2"/>
      <c r="B19" s="11" t="str">
        <f aca="false">'12.lan'!D31</f>
        <v>5. Values star</v>
      </c>
      <c r="C19" s="11"/>
      <c r="D19" s="10" t="str">
        <f aca="false">'12.lan'!D21</f>
        <v>The values-star displays your result arranged by value as a graphic.</v>
      </c>
    </row>
    <row r="20" customFormat="false" ht="32.25" hidden="false" customHeight="true" outlineLevel="0" collapsed="false">
      <c r="A20" s="2"/>
      <c r="B20" s="11" t="str">
        <f aca="false">'12.lan'!D32</f>
        <v>6. Group star</v>
      </c>
      <c r="C20" s="11"/>
      <c r="D20" s="10" t="str">
        <f aca="false">'12.lan'!D22</f>
        <v>The group-star displays your result arranged by stakeholder as a graphic.</v>
      </c>
    </row>
    <row r="21" customFormat="false" ht="28.5" hidden="false" customHeight="true" outlineLevel="0" collapsed="false">
      <c r="A21" s="2"/>
      <c r="B21" s="11" t="str">
        <f aca="false">'12.lan'!D33</f>
        <v>7. Theme star</v>
      </c>
      <c r="C21" s="11"/>
      <c r="D21" s="13" t="str">
        <f aca="false">'12.lan'!D23</f>
        <v>The theme-star displays the result of your themes as a graphic.</v>
      </c>
    </row>
    <row r="22" customFormat="false" ht="30" hidden="false" customHeight="true" outlineLevel="0" collapsed="false">
      <c r="A22" s="2"/>
      <c r="B22" s="14" t="str">
        <f aca="false">'12.lan'!D34</f>
        <v>8. Weighting model description</v>
      </c>
      <c r="C22" s="14"/>
      <c r="D22" s="13" t="str">
        <f aca="false">'12.lan'!D24</f>
        <v>This is a description of the weighting model.</v>
      </c>
    </row>
    <row r="23" customFormat="false" ht="41.25" hidden="false" customHeight="true" outlineLevel="0" collapsed="false">
      <c r="A23" s="2"/>
      <c r="B23" s="11" t="str">
        <f aca="false">'12.lan'!D35</f>
        <v>9. Weighting (hidden)</v>
      </c>
      <c r="C23" s="11"/>
      <c r="D23" s="13" t="str">
        <f aca="false">'12.lan'!D25</f>
        <v>This is where the calculation determines how the individual stakeholder groups and themes are weighted.</v>
      </c>
    </row>
    <row r="24" customFormat="false" ht="43.5" hidden="false" customHeight="true" outlineLevel="0" collapsed="false">
      <c r="A24" s="2"/>
      <c r="B24" s="11" t="str">
        <f aca="false">'12.lan'!D36</f>
        <v>10. Industry sectors (hidden)</v>
      </c>
      <c r="C24" s="11"/>
      <c r="D24" s="13" t="str">
        <f aca="false">'12.lan'!D26</f>
        <v>This contains an assessment of the relevance of supply chains and environmental sustainability for all industry sectors, used in the weighting.</v>
      </c>
    </row>
    <row r="25" customFormat="false" ht="35.25" hidden="false" customHeight="true" outlineLevel="0" collapsed="false">
      <c r="A25" s="2"/>
      <c r="B25" s="14" t="str">
        <f aca="false">'12.lan'!D37</f>
        <v>11. Countries (hidden)</v>
      </c>
      <c r="C25" s="14"/>
      <c r="D25" s="13" t="str">
        <f aca="false">'12.lan'!D27</f>
        <v>This contains statistics for countries and regions used in the weighting.</v>
      </c>
    </row>
    <row r="26" customFormat="false" ht="15" hidden="false" customHeight="true" outlineLevel="0" collapsed="false">
      <c r="A26" s="2"/>
      <c r="B26" s="15"/>
      <c r="C26" s="15"/>
      <c r="D26" s="16"/>
    </row>
    <row r="27" customFormat="false" ht="12.75" hidden="false" customHeight="true" outlineLevel="0" collapsed="false">
      <c r="A27" s="2"/>
      <c r="B27" s="7" t="str">
        <f aca="false">'12.lan'!D40</f>
        <v>KEY</v>
      </c>
      <c r="C27" s="7"/>
      <c r="D27" s="7"/>
    </row>
    <row r="28" customFormat="false" ht="19.5" hidden="false" customHeight="true" outlineLevel="0" collapsed="false">
      <c r="A28" s="2"/>
      <c r="B28" s="17" t="str">
        <f aca="false">'12.lan'!D41</f>
        <v>Field is editable (green frame, dark green text)</v>
      </c>
      <c r="C28" s="17"/>
      <c r="D28" s="17"/>
    </row>
    <row r="29" customFormat="false" ht="1.5" hidden="false" customHeight="true" outlineLevel="0" collapsed="false">
      <c r="A29" s="2"/>
      <c r="B29" s="2"/>
      <c r="C29" s="2"/>
      <c r="D29" s="18"/>
    </row>
    <row r="30" customFormat="false" ht="19.5" hidden="false" customHeight="true" outlineLevel="0" collapsed="false">
      <c r="A30" s="2"/>
      <c r="B30" s="19" t="str">
        <f aca="false">'12.lan'!D42</f>
        <v>Feld is read-only (grey frame, dark grey text)</v>
      </c>
      <c r="C30" s="19"/>
      <c r="D30" s="19"/>
    </row>
    <row r="31" customFormat="false" ht="1.5" hidden="false" customHeight="true" outlineLevel="0" collapsed="false">
      <c r="A31" s="2"/>
      <c r="B31" s="2"/>
      <c r="C31" s="2"/>
      <c r="D31" s="18"/>
    </row>
    <row r="32" customFormat="false" ht="19.5" hidden="false" customHeight="true" outlineLevel="0" collapsed="false">
      <c r="A32" s="2"/>
      <c r="B32" s="20" t="str">
        <f aca="false">'12.lan'!D43</f>
        <v>non valid value entry (for correct calculation change value)</v>
      </c>
      <c r="C32" s="20"/>
      <c r="D32" s="20"/>
    </row>
    <row r="33" customFormat="false" ht="12.75" hidden="false" customHeight="true" outlineLevel="0" collapsed="false">
      <c r="A33" s="2"/>
      <c r="B33" s="2"/>
      <c r="C33" s="2"/>
      <c r="D33" s="2"/>
    </row>
    <row r="34" customFormat="false" ht="12.75" hidden="false" customHeight="true" outlineLevel="0" collapsed="false">
      <c r="A34" s="2"/>
      <c r="B34" s="7" t="str">
        <f aca="false">'12.lan'!D54</f>
        <v>CONTACT</v>
      </c>
      <c r="C34" s="7"/>
      <c r="D34" s="7"/>
    </row>
    <row r="35" customFormat="false" ht="12.75" hidden="false" customHeight="true" outlineLevel="0" collapsed="false">
      <c r="A35" s="2"/>
      <c r="B35" s="21" t="str">
        <f aca="false">'12.lan'!D55</f>
        <v>Questions regarding preparation of balance sheet:
beratung@gemeinwohl-oekonomie.org (GWÖ-BeraterInnen);</v>
      </c>
      <c r="C35" s="21"/>
      <c r="D35" s="21"/>
    </row>
    <row r="36" customFormat="false" ht="12.75" hidden="false" customHeight="true" outlineLevel="0" collapsed="false">
      <c r="A36" s="2"/>
      <c r="B36" s="21" t="str">
        <f aca="false">'12.lan'!D56</f>
        <v>Questions regarding audit: audit@gemeinwohl-oekonomie.org (GWÖ-AuditorInnen);</v>
      </c>
      <c r="C36" s="21"/>
      <c r="D36" s="21"/>
    </row>
    <row r="37" customFormat="false" ht="12.75" hidden="false" customHeight="true" outlineLevel="0" collapsed="false">
      <c r="A37" s="2"/>
      <c r="B37" s="22" t="str">
        <f aca="false">'12.lan'!D57</f>
        <v>Feedback on the development of the Matrix: bilanz@ecogood.org (Matrix Development Team)</v>
      </c>
      <c r="C37" s="22"/>
      <c r="D37" s="22"/>
    </row>
    <row r="38" customFormat="false" ht="51" hidden="false" customHeight="true" outlineLevel="0" collapsed="false">
      <c r="A38" s="2"/>
      <c r="B38" s="23" t="str">
        <f aca="false">'12.lan'!D58</f>
        <v>Excel programming: Christian Loy (christian.loy@gmx.at); Christian Kozina; Multilanguage tool: Bernhard Oberrauch</v>
      </c>
      <c r="C38" s="23"/>
      <c r="D38" s="23"/>
    </row>
    <row r="39" customFormat="false" ht="30" hidden="false" customHeight="true" outlineLevel="0" collapsed="false">
      <c r="A39" s="2"/>
      <c r="B39" s="24" t="str">
        <f aca="false">'12.lan'!D59</f>
        <v>Contents: ECG-Matrix Development Team</v>
      </c>
      <c r="C39" s="24"/>
      <c r="D39" s="24"/>
    </row>
    <row r="40" customFormat="false" ht="12.75" hidden="false" customHeight="true" outlineLevel="0" collapsed="false">
      <c r="A40" s="2"/>
      <c r="B40" s="2"/>
      <c r="C40" s="2"/>
      <c r="D40" s="2"/>
    </row>
    <row r="41" customFormat="false" ht="12.75" hidden="false" customHeight="true" outlineLevel="0" collapsed="false">
      <c r="A41" s="2"/>
      <c r="B41" s="7" t="str">
        <f aca="false">'12.lan'!D60</f>
        <v>NOTES</v>
      </c>
      <c r="C41" s="7"/>
      <c r="D41" s="7"/>
    </row>
    <row r="42" customFormat="false" ht="28.5" hidden="false" customHeight="true" outlineLevel="0" collapsed="false">
      <c r="B42" s="25" t="str">
        <f aca="false">'12.lan'!D61</f>
        <v>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v>
      </c>
      <c r="C42" s="25"/>
      <c r="D42" s="25"/>
    </row>
  </sheetData>
  <sheetProtection algorithmName="SHA-512" hashValue="9yLV7fRnGkPl1rmiygRGofAnJyXqSwPZtY+RKCH5+g61L9P8Z7eJmxNFF5FkjAr6sjxEOiqESqUmmZmrheTVYw==" saltValue="feiakmTKyXXWEpyUlRR87Q==" spinCount="100000" sheet="true" objects="true" scenarios="true"/>
  <mergeCells count="34">
    <mergeCell ref="B1:C1"/>
    <mergeCell ref="B2:D2"/>
    <mergeCell ref="B5:D5"/>
    <mergeCell ref="B6:D6"/>
    <mergeCell ref="B8:D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7:D27"/>
    <mergeCell ref="B28:D28"/>
    <mergeCell ref="B30:D30"/>
    <mergeCell ref="B32:D32"/>
    <mergeCell ref="B34:D34"/>
    <mergeCell ref="B35:D35"/>
    <mergeCell ref="B36:D36"/>
    <mergeCell ref="B37:D37"/>
    <mergeCell ref="B38:D38"/>
    <mergeCell ref="B39:D39"/>
    <mergeCell ref="B41:D41"/>
    <mergeCell ref="B42:D42"/>
  </mergeCells>
  <dataValidations count="1">
    <dataValidation allowBlank="false" errorStyle="stop" operator="between" showDropDown="false" showErrorMessage="true" showInputMessage="true" sqref="B1:C1" type="list">
      <formula1>$M$2:$M$8</formula1>
      <formula2>0</formula2>
    </dataValidation>
  </dataValidations>
  <printOptions headings="false" gridLines="false" gridLinesSet="true" horizontalCentered="false" verticalCentered="false"/>
  <pageMargins left="0.520138888888889" right="0.590277777777778"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25"/>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B6" activeCellId="0" sqref="B6"/>
    </sheetView>
  </sheetViews>
  <sheetFormatPr defaultColWidth="10.71484375" defaultRowHeight="12.75" zeroHeight="false" outlineLevelRow="0" outlineLevelCol="0"/>
  <cols>
    <col collapsed="false" customWidth="true" hidden="false" outlineLevel="0" max="1" min="1" style="1" width="2.71"/>
    <col collapsed="false" customWidth="true" hidden="false" outlineLevel="0" max="2" min="2" style="1" width="29.29"/>
    <col collapsed="false" customWidth="true" hidden="false" outlineLevel="0" max="3" min="3" style="26" width="54.85"/>
    <col collapsed="false" customWidth="false" hidden="false" outlineLevel="0" max="1024" min="4" style="1" width="10.71"/>
  </cols>
  <sheetData>
    <row r="1" customFormat="false" ht="12.75" hidden="false" customHeight="true" outlineLevel="0" collapsed="false">
      <c r="A1" s="2"/>
      <c r="B1" s="27"/>
      <c r="C1" s="28"/>
    </row>
    <row r="2" customFormat="false" ht="12.75" hidden="false" customHeight="true" outlineLevel="0" collapsed="false">
      <c r="A2" s="2"/>
      <c r="B2" s="21" t="str">
        <f aca="false">'12.lan'!D91&amp;" - "&amp;'0. Intro'!B3&amp;" "&amp;'0. Intro'!C3</f>
        <v>Common Good Balance Calculator - Version 5.06</v>
      </c>
      <c r="C2" s="21"/>
    </row>
    <row r="3" customFormat="false" ht="18" hidden="false" customHeight="true" outlineLevel="0" collapsed="false">
      <c r="A3" s="2"/>
      <c r="B3" s="29" t="str">
        <f aca="false">'12.lan'!D62</f>
        <v>GENERAL INFORMATION ABOUT THE COMPANY</v>
      </c>
      <c r="C3" s="29"/>
    </row>
    <row r="4" customFormat="false" ht="22.5" hidden="false" customHeight="true" outlineLevel="0" collapsed="false">
      <c r="A4" s="2"/>
      <c r="B4" s="18" t="str">
        <f aca="false">'12.lan'!D63</f>
        <v>Please complete all fields.</v>
      </c>
      <c r="C4" s="30"/>
    </row>
    <row r="5" customFormat="false" ht="12.75" hidden="false" customHeight="true" outlineLevel="0" collapsed="false">
      <c r="A5" s="2"/>
      <c r="B5" s="27"/>
      <c r="C5" s="28"/>
    </row>
    <row r="6" customFormat="false" ht="19.5" hidden="false" customHeight="true" outlineLevel="0" collapsed="false">
      <c r="A6" s="2"/>
      <c r="B6" s="31" t="str">
        <f aca="false">'12.lan'!D64</f>
        <v>Name of Company / Organisation:</v>
      </c>
      <c r="C6" s="32" t="s">
        <v>8</v>
      </c>
    </row>
    <row r="7" customFormat="false" ht="19.5" hidden="false" customHeight="true" outlineLevel="0" collapsed="false">
      <c r="A7" s="2"/>
      <c r="B7" s="33" t="str">
        <f aca="false">'12.lan'!D65</f>
        <v>Address:</v>
      </c>
      <c r="C7" s="32" t="s">
        <v>9</v>
      </c>
    </row>
    <row r="8" customFormat="false" ht="19.5" hidden="false" customHeight="true" outlineLevel="0" collapsed="false">
      <c r="A8" s="2"/>
      <c r="B8" s="33" t="str">
        <f aca="false">'12.lan'!D66</f>
        <v>Country:</v>
      </c>
      <c r="C8" s="32" t="s">
        <v>10</v>
      </c>
    </row>
    <row r="9" customFormat="false" ht="19.5" hidden="false" customHeight="true" outlineLevel="0" collapsed="false">
      <c r="A9" s="2"/>
      <c r="B9" s="33" t="str">
        <f aca="false">'12.lan'!D67</f>
        <v>Industry sector:</v>
      </c>
      <c r="C9" s="32"/>
    </row>
    <row r="10" customFormat="false" ht="19.5" hidden="false" customHeight="true" outlineLevel="0" collapsed="false">
      <c r="A10" s="2"/>
      <c r="B10" s="33" t="str">
        <f aca="false">'12.lan'!D68</f>
        <v>Website:</v>
      </c>
      <c r="C10" s="34" t="s">
        <v>11</v>
      </c>
    </row>
    <row r="11" customFormat="false" ht="9.75" hidden="false" customHeight="true" outlineLevel="0" collapsed="false">
      <c r="A11" s="2"/>
      <c r="B11" s="35"/>
      <c r="C11" s="36"/>
    </row>
    <row r="12" customFormat="false" ht="19.5" hidden="false" customHeight="true" outlineLevel="0" collapsed="false">
      <c r="A12" s="2"/>
      <c r="B12" s="33" t="str">
        <f aca="false">'12.lan'!D83</f>
        <v>Period under review</v>
      </c>
      <c r="C12" s="32" t="s">
        <v>12</v>
      </c>
    </row>
    <row r="13" customFormat="false" ht="9.75" hidden="false" customHeight="true" outlineLevel="0" collapsed="false">
      <c r="A13" s="2"/>
      <c r="B13" s="37"/>
      <c r="C13" s="38"/>
    </row>
    <row r="14" customFormat="false" ht="19.5" hidden="false" customHeight="true" outlineLevel="0" collapsed="false">
      <c r="A14" s="2"/>
      <c r="B14" s="31" t="str">
        <f aca="false">'12.lan'!D73</f>
        <v>Document created by:</v>
      </c>
      <c r="C14" s="32" t="s">
        <v>13</v>
      </c>
    </row>
    <row r="15" customFormat="false" ht="19.5" hidden="false" customHeight="true" outlineLevel="0" collapsed="false">
      <c r="A15" s="2"/>
      <c r="B15" s="33" t="str">
        <f aca="false">'12.lan'!D74</f>
        <v>Email address:</v>
      </c>
      <c r="C15" s="32" t="s">
        <v>14</v>
      </c>
    </row>
    <row r="16" customFormat="false" ht="19.5" hidden="false" customHeight="true" outlineLevel="0" collapsed="false">
      <c r="A16" s="2"/>
      <c r="B16" s="33" t="str">
        <f aca="false">'12.lan'!D75</f>
        <v>Phone number:</v>
      </c>
      <c r="C16" s="32"/>
    </row>
    <row r="17" customFormat="false" ht="9.75" hidden="false" customHeight="true" outlineLevel="0" collapsed="false">
      <c r="A17" s="2"/>
      <c r="B17" s="37"/>
      <c r="C17" s="38"/>
    </row>
    <row r="18" customFormat="false" ht="19.5" hidden="false" customHeight="true" outlineLevel="0" collapsed="false">
      <c r="A18" s="2"/>
      <c r="B18" s="31" t="str">
        <f aca="false">'12.lan'!D76</f>
        <v>Consultant:</v>
      </c>
      <c r="C18" s="32" t="s">
        <v>15</v>
      </c>
    </row>
    <row r="19" customFormat="false" ht="19.5" hidden="false" customHeight="true" outlineLevel="0" collapsed="false">
      <c r="A19" s="2"/>
      <c r="B19" s="33" t="str">
        <f aca="false">'12.lan'!D74</f>
        <v>Email address:</v>
      </c>
      <c r="C19" s="32"/>
    </row>
    <row r="20" customFormat="false" ht="19.5" hidden="false" customHeight="true" outlineLevel="0" collapsed="false">
      <c r="A20" s="2"/>
      <c r="B20" s="33" t="str">
        <f aca="false">'12.lan'!D75</f>
        <v>Phone number:</v>
      </c>
      <c r="C20" s="32"/>
    </row>
    <row r="21" customFormat="false" ht="9.75" hidden="false" customHeight="true" outlineLevel="0" collapsed="false">
      <c r="A21" s="2"/>
      <c r="B21" s="37"/>
      <c r="C21" s="38"/>
    </row>
    <row r="22" customFormat="false" ht="64.5" hidden="false" customHeight="true" outlineLevel="0" collapsed="false">
      <c r="A22" s="2"/>
      <c r="B22" s="39" t="str">
        <f aca="false">'12.lan'!D79</f>
        <v>Short description of Company / Organisation</v>
      </c>
      <c r="C22" s="32" t="s">
        <v>16</v>
      </c>
    </row>
    <row r="23" customFormat="false" ht="9.75" hidden="false" customHeight="true" outlineLevel="0" collapsed="false">
      <c r="A23" s="2"/>
      <c r="B23" s="40"/>
      <c r="C23" s="41"/>
    </row>
    <row r="24" customFormat="false" ht="64.5" hidden="false" customHeight="true" outlineLevel="0" collapsed="false">
      <c r="B24" s="42" t="str">
        <f aca="false">'12.lan'!D80</f>
        <v>Additional comments:</v>
      </c>
      <c r="C24" s="32"/>
    </row>
    <row r="25" customFormat="false" ht="120.75" hidden="false" customHeight="true" outlineLevel="0" collapsed="false">
      <c r="A25" s="2"/>
      <c r="B25" s="2"/>
      <c r="C25" s="28"/>
    </row>
  </sheetData>
  <sheetProtection algorithmName="SHA-512" hashValue="1xcdvrOvLu3WASOvDBPHxPalmWHJ4K4zbcCnVosXzdhWRSJPrkr1uXl52xGRpOxKutnffzX4yLQkGx1J5OZCSA==" saltValue="SL/QFavLwuhbw8b4gwH5mQ==" spinCount="100000" sheet="true" objects="true" scenarios="true"/>
  <mergeCells count="2">
    <mergeCell ref="B2:C2"/>
    <mergeCell ref="B3:C3"/>
  </mergeCells>
  <printOptions headings="false" gridLines="false" gridLinesSet="true" horizontalCentered="false" verticalCentered="false"/>
  <pageMargins left="0.559722222222222" right="0.7" top="0.6"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48"/>
  <sheetViews>
    <sheetView showFormulas="false" showGridLines="false" showRowColHeaders="true" showZeros="true" rightToLeft="false" tabSelected="false" showOutlineSymbols="true" defaultGridColor="true" view="normal" topLeftCell="A22" colorId="64" zoomScale="110" zoomScaleNormal="110" zoomScalePageLayoutView="100" workbookViewId="0">
      <selection pane="topLeft" activeCell="D42" activeCellId="0" sqref="D42"/>
    </sheetView>
  </sheetViews>
  <sheetFormatPr defaultColWidth="10.71484375" defaultRowHeight="12.75" zeroHeight="false" outlineLevelRow="0" outlineLevelCol="0"/>
  <cols>
    <col collapsed="false" customWidth="true" hidden="false" outlineLevel="0" max="1" min="1" style="1" width="2.71"/>
    <col collapsed="false" customWidth="true" hidden="false" outlineLevel="0" max="2" min="2" style="1" width="58.29"/>
    <col collapsed="false" customWidth="true" hidden="false" outlineLevel="0" max="3" min="3" style="26" width="41"/>
    <col collapsed="false" customWidth="true" hidden="false" outlineLevel="0" max="4" min="4" style="1" width="25"/>
    <col collapsed="false" customWidth="true" hidden="false" outlineLevel="0" max="5" min="5" style="1" width="29.29"/>
    <col collapsed="false" customWidth="true" hidden="false" outlineLevel="0" max="6" min="6" style="1" width="19.28"/>
    <col collapsed="false" customWidth="false" hidden="false" outlineLevel="0" max="12" min="7" style="1" width="10.71"/>
    <col collapsed="false" customWidth="true" hidden="true" outlineLevel="0" max="13" min="13" style="1" width="9.14"/>
    <col collapsed="false" customWidth="false" hidden="false" outlineLevel="0" max="1024" min="14" style="1" width="10.71"/>
  </cols>
  <sheetData>
    <row r="1" customFormat="false" ht="12.75" hidden="false" customHeight="true" outlineLevel="0" collapsed="false">
      <c r="A1" s="2"/>
      <c r="B1" s="27"/>
      <c r="C1" s="28"/>
    </row>
    <row r="2" customFormat="false" ht="12.75" hidden="false" customHeight="true" outlineLevel="0" collapsed="false">
      <c r="A2" s="2"/>
      <c r="B2" s="21" t="str">
        <f aca="false">'12.lan'!D91&amp;" - "&amp;'0. Intro'!B3&amp;" "&amp;'0. Intro'!C3</f>
        <v>Common Good Balance Calculator - Version 5.06</v>
      </c>
      <c r="C2" s="21"/>
      <c r="M2" s="1" t="str">
        <f aca="false">'12.lan'!D52</f>
        <v>yes</v>
      </c>
    </row>
    <row r="3" customFormat="false" ht="18" hidden="false" customHeight="true" outlineLevel="0" collapsed="false">
      <c r="A3" s="2"/>
      <c r="B3" s="29" t="str">
        <f aca="false">'12.lan'!D194</f>
        <v>Company details</v>
      </c>
      <c r="C3" s="29"/>
      <c r="M3" s="1" t="str">
        <f aca="false">'12.lan'!D53</f>
        <v>no</v>
      </c>
    </row>
    <row r="4" customFormat="false" ht="73.5" hidden="false" customHeight="true" outlineLevel="0" collapsed="false">
      <c r="A4" s="2"/>
      <c r="B4" s="43" t="str">
        <f aca="false">'12.lan'!D195</f>
        <v>Fill in the highlighted fields below. Where detailed information is not available, please enter estimates, otherwise the calculation will not be accurate</v>
      </c>
      <c r="C4" s="43"/>
    </row>
    <row r="5" customFormat="false" ht="12.75" hidden="false" customHeight="true" outlineLevel="0" collapsed="false">
      <c r="A5" s="2"/>
      <c r="B5" s="27"/>
      <c r="C5" s="28"/>
    </row>
    <row r="6" customFormat="false" ht="19.5" hidden="false" customHeight="true" outlineLevel="0" collapsed="false">
      <c r="A6" s="2"/>
      <c r="B6" s="31" t="str">
        <f aca="false">'12.lan'!B108</f>
        <v>A: Suppliers</v>
      </c>
      <c r="C6" s="44"/>
      <c r="D6" s="44"/>
      <c r="E6" s="44"/>
      <c r="F6" s="44"/>
    </row>
    <row r="7" customFormat="false" ht="19.5" hidden="false" customHeight="true" outlineLevel="0" collapsed="false">
      <c r="A7" s="2"/>
      <c r="B7" s="33" t="str">
        <f aca="false">'12.lan'!D297</f>
        <v>Total purchases from suppliers (in Euros):</v>
      </c>
      <c r="C7" s="45" t="n">
        <v>200000</v>
      </c>
      <c r="D7" s="46" t="str">
        <f aca="false">IF(SUM(F10:F14)&gt;C7,'12.lan'!D44,"")</f>
        <v/>
      </c>
      <c r="E7" s="47"/>
      <c r="F7" s="48"/>
    </row>
    <row r="8" customFormat="false" ht="19.5" hidden="false" customHeight="true" outlineLevel="0" collapsed="false">
      <c r="A8" s="2"/>
      <c r="B8" s="33" t="str">
        <f aca="false">'12.lan'!D298</f>
        <v>Enter the 5 most important industry sectors whose products or services you use.</v>
      </c>
      <c r="C8" s="44"/>
      <c r="D8" s="44"/>
      <c r="E8" s="44"/>
      <c r="F8" s="44"/>
    </row>
    <row r="9" customFormat="false" ht="19.5" hidden="false" customHeight="true" outlineLevel="0" collapsed="false">
      <c r="A9" s="2"/>
      <c r="B9" s="31" t="str">
        <f aca="false">'12.lan'!D299</f>
        <v>Industry sector</v>
      </c>
      <c r="C9" s="31" t="str">
        <f aca="false">'12.lan'!D300</f>
        <v>Description</v>
      </c>
      <c r="D9" s="31" t="str">
        <f aca="false">'12.lan'!D301</f>
        <v>Region of origin</v>
      </c>
      <c r="E9" s="31"/>
      <c r="F9" s="31" t="str">
        <f aca="false">'12.lan'!D302</f>
        <v>Costs</v>
      </c>
    </row>
    <row r="10" customFormat="false" ht="19.5" hidden="false" customHeight="true" outlineLevel="0" collapsed="false">
      <c r="A10" s="2"/>
      <c r="B10" s="49" t="s">
        <v>17</v>
      </c>
      <c r="C10" s="45"/>
      <c r="D10" s="45" t="s">
        <v>18</v>
      </c>
      <c r="E10" s="45"/>
      <c r="F10" s="45" t="n">
        <v>3388</v>
      </c>
    </row>
    <row r="11" customFormat="false" ht="19.5" hidden="false" customHeight="true" outlineLevel="0" collapsed="false">
      <c r="A11" s="2"/>
      <c r="B11" s="49" t="s">
        <v>19</v>
      </c>
      <c r="C11" s="45"/>
      <c r="D11" s="45" t="s">
        <v>20</v>
      </c>
      <c r="E11" s="45"/>
      <c r="F11" s="45" t="n">
        <v>654</v>
      </c>
    </row>
    <row r="12" customFormat="false" ht="19.5" hidden="false" customHeight="true" outlineLevel="0" collapsed="false">
      <c r="A12" s="2"/>
      <c r="B12" s="49" t="s">
        <v>17</v>
      </c>
      <c r="C12" s="45"/>
      <c r="D12" s="45" t="s">
        <v>21</v>
      </c>
      <c r="E12" s="45"/>
      <c r="F12" s="45" t="n">
        <v>456</v>
      </c>
    </row>
    <row r="13" customFormat="false" ht="19.5" hidden="false" customHeight="true" outlineLevel="0" collapsed="false">
      <c r="A13" s="2"/>
      <c r="B13" s="49" t="s">
        <v>17</v>
      </c>
      <c r="C13" s="45"/>
      <c r="D13" s="45" t="s">
        <v>22</v>
      </c>
      <c r="E13" s="45"/>
      <c r="F13" s="45" t="n">
        <v>77</v>
      </c>
    </row>
    <row r="14" customFormat="false" ht="19.5" hidden="false" customHeight="true" outlineLevel="0" collapsed="false">
      <c r="A14" s="2"/>
      <c r="B14" s="49" t="s">
        <v>23</v>
      </c>
      <c r="C14" s="45"/>
      <c r="D14" s="45"/>
      <c r="E14" s="45"/>
      <c r="F14" s="45" t="n">
        <v>0</v>
      </c>
    </row>
    <row r="15" customFormat="false" ht="19.5" hidden="false" customHeight="true" outlineLevel="0" collapsed="false">
      <c r="A15" s="2"/>
      <c r="B15" s="50" t="str">
        <f aca="false">'12.lan'!$D$303</f>
        <v>Main origin of the other suppliers</v>
      </c>
      <c r="C15" s="50"/>
      <c r="D15" s="45" t="s">
        <v>24</v>
      </c>
      <c r="E15" s="45"/>
      <c r="F15" s="51" t="n">
        <f aca="false">C7-F10-F11-F12-F13-F14</f>
        <v>195425</v>
      </c>
    </row>
    <row r="16" customFormat="false" ht="9.75" hidden="false" customHeight="true" outlineLevel="0" collapsed="false">
      <c r="A16" s="2"/>
      <c r="B16" s="37"/>
      <c r="C16" s="38"/>
    </row>
    <row r="17" customFormat="false" ht="19.5" hidden="false" customHeight="true" outlineLevel="0" collapsed="false">
      <c r="A17" s="2"/>
      <c r="B17" s="31" t="str">
        <f aca="false">'12.lan'!B122</f>
        <v>B: Owners, equity- and financial service providers</v>
      </c>
      <c r="C17" s="44"/>
    </row>
    <row r="18" customFormat="false" ht="19.5" hidden="false" customHeight="true" outlineLevel="0" collapsed="false">
      <c r="A18" s="2"/>
      <c r="B18" s="33" t="str">
        <f aca="false">'12.lan'!D304</f>
        <v>Profit</v>
      </c>
      <c r="C18" s="45" t="n">
        <v>456456456</v>
      </c>
    </row>
    <row r="19" customFormat="false" ht="19.5" hidden="false" customHeight="true" outlineLevel="0" collapsed="false">
      <c r="A19" s="2"/>
      <c r="B19" s="33" t="str">
        <f aca="false">'12.lan'!D305</f>
        <v>Financing costs</v>
      </c>
      <c r="C19" s="45" t="n">
        <v>266</v>
      </c>
    </row>
    <row r="20" customFormat="false" ht="19.5" hidden="false" customHeight="true" outlineLevel="0" collapsed="false">
      <c r="A20" s="2"/>
      <c r="B20" s="33" t="str">
        <f aca="false">'12.lan'!D306</f>
        <v>Income from financial investments</v>
      </c>
      <c r="C20" s="45" t="n">
        <v>500</v>
      </c>
    </row>
    <row r="21" customFormat="false" ht="19.5" hidden="false" customHeight="true" outlineLevel="0" collapsed="false">
      <c r="A21" s="2"/>
      <c r="B21" s="33" t="str">
        <f aca="false">'12.lan'!D307</f>
        <v>Total assets</v>
      </c>
      <c r="C21" s="45" t="n">
        <v>420</v>
      </c>
    </row>
    <row r="22" customFormat="false" ht="19.5" hidden="false" customHeight="true" outlineLevel="0" collapsed="false">
      <c r="A22" s="2"/>
      <c r="B22" s="33" t="str">
        <f aca="false">'12.lan'!D308</f>
        <v>Additions to fixed-assets</v>
      </c>
      <c r="C22" s="45" t="n">
        <v>400</v>
      </c>
    </row>
    <row r="23" customFormat="false" ht="19.5" hidden="false" customHeight="true" outlineLevel="0" collapsed="false">
      <c r="A23" s="2"/>
      <c r="B23" s="33" t="str">
        <f aca="false">'12.lan'!D309</f>
        <v>Financial assets and cash balance</v>
      </c>
      <c r="C23" s="45" t="n">
        <v>310</v>
      </c>
    </row>
    <row r="24" customFormat="false" ht="9.75" hidden="false" customHeight="true" outlineLevel="0" collapsed="false">
      <c r="A24" s="2"/>
      <c r="B24" s="37"/>
      <c r="C24" s="38"/>
    </row>
    <row r="25" customFormat="false" ht="19.5" hidden="false" customHeight="true" outlineLevel="0" collapsed="false">
      <c r="A25" s="2"/>
      <c r="B25" s="31" t="str">
        <f aca="false">'12.lan'!B137</f>
        <v>C: Employees</v>
      </c>
      <c r="C25" s="44"/>
    </row>
    <row r="26" customFormat="false" ht="19.5" hidden="false" customHeight="true" outlineLevel="0" collapsed="false">
      <c r="A26" s="2"/>
      <c r="B26" s="33" t="str">
        <f aca="false">'12.lan'!D310</f>
        <v>Number of employees (full time equivalents)</v>
      </c>
      <c r="C26" s="45" t="n">
        <v>5</v>
      </c>
    </row>
    <row r="27" customFormat="false" ht="19.5" hidden="false" customHeight="true" outlineLevel="0" collapsed="false">
      <c r="A27" s="2"/>
      <c r="B27" s="33" t="str">
        <f aca="false">'12.lan'!D311</f>
        <v>Staff costs (gross without employer contribution)</v>
      </c>
      <c r="C27" s="45" t="n">
        <v>5501</v>
      </c>
    </row>
    <row r="28" customFormat="false" ht="19.5" hidden="false" customHeight="true" outlineLevel="0" collapsed="false">
      <c r="A28" s="2"/>
      <c r="B28" s="33" t="str">
        <f aca="false">'12.lan'!D312</f>
        <v>Enter the 3 countries and regions where most of the staff are</v>
      </c>
      <c r="C28" s="44"/>
    </row>
    <row r="29" customFormat="false" ht="19.5" hidden="false" customHeight="true" outlineLevel="0" collapsed="false">
      <c r="A29" s="2"/>
      <c r="B29" s="33" t="str">
        <f aca="false">'12.lan'!D313</f>
        <v>Country and region</v>
      </c>
      <c r="C29" s="33"/>
      <c r="D29" s="1" t="str">
        <f aca="false">'12.lan'!D314</f>
        <v>Amount in %</v>
      </c>
    </row>
    <row r="30" customFormat="false" ht="19.5" hidden="false" customHeight="true" outlineLevel="0" collapsed="false">
      <c r="A30" s="2"/>
      <c r="B30" s="45" t="s">
        <v>25</v>
      </c>
      <c r="C30" s="45"/>
      <c r="D30" s="52" t="n">
        <v>0.46</v>
      </c>
      <c r="E30" s="47" t="str">
        <f aca="false">IF(SUM(D30:D32)&gt;"100%","fehlerhafte Eingabe","")</f>
        <v/>
      </c>
      <c r="F30" s="47"/>
    </row>
    <row r="31" customFormat="false" ht="19.5" hidden="false" customHeight="true" outlineLevel="0" collapsed="false">
      <c r="A31" s="2"/>
      <c r="B31" s="45" t="s">
        <v>26</v>
      </c>
      <c r="C31" s="45"/>
      <c r="D31" s="52" t="n">
        <v>0.11</v>
      </c>
    </row>
    <row r="32" customFormat="false" ht="19.5" hidden="false" customHeight="true" outlineLevel="0" collapsed="false">
      <c r="A32" s="2"/>
      <c r="B32" s="45"/>
      <c r="C32" s="45"/>
      <c r="D32" s="52" t="n">
        <v>0</v>
      </c>
    </row>
    <row r="33" customFormat="false" ht="19.5" hidden="false" customHeight="true" outlineLevel="0" collapsed="false">
      <c r="A33" s="2"/>
      <c r="B33" s="33" t="str">
        <f aca="false">'12.lan'!D315</f>
        <v>Average journey to work for staff (in km)</v>
      </c>
      <c r="C33" s="45" t="n">
        <v>456456</v>
      </c>
    </row>
    <row r="34" customFormat="false" ht="19.5" hidden="false" customHeight="true" outlineLevel="0" collapsed="false">
      <c r="A34" s="2"/>
      <c r="B34" s="33" t="str">
        <f aca="false">'12.lan'!D316</f>
        <v>Is there a canteen for the majority of staff?</v>
      </c>
      <c r="C34" s="32" t="s">
        <v>27</v>
      </c>
      <c r="D34" s="53" t="s">
        <v>28</v>
      </c>
      <c r="E34" s="53"/>
      <c r="F34" s="53" t="s">
        <v>29</v>
      </c>
    </row>
    <row r="35" customFormat="false" ht="9.75" hidden="false" customHeight="true" outlineLevel="0" collapsed="false">
      <c r="A35" s="2"/>
      <c r="B35" s="37"/>
      <c r="C35" s="38"/>
    </row>
    <row r="36" customFormat="false" ht="19.5" hidden="false" customHeight="true" outlineLevel="0" collapsed="false">
      <c r="A36" s="2"/>
      <c r="B36" s="31" t="str">
        <f aca="false">'12.lan'!B158</f>
        <v>D: Customers and other companies</v>
      </c>
      <c r="C36" s="44"/>
      <c r="D36" s="44"/>
      <c r="E36" s="44"/>
      <c r="F36" s="44"/>
    </row>
    <row r="37" customFormat="false" ht="19.5" hidden="false" customHeight="true" outlineLevel="0" collapsed="false">
      <c r="A37" s="2"/>
      <c r="B37" s="33" t="str">
        <f aca="false">'12.lan'!D317</f>
        <v>Turnover (in Euros)</v>
      </c>
      <c r="C37" s="45" t="n">
        <v>124</v>
      </c>
      <c r="D37" s="48"/>
      <c r="E37" s="48"/>
      <c r="F37" s="48"/>
    </row>
    <row r="38" customFormat="false" ht="19.5" hidden="false" customHeight="true" outlineLevel="0" collapsed="false">
      <c r="A38" s="2"/>
      <c r="B38" s="33" t="str">
        <f aca="false">'12.lan'!D318</f>
        <v>Are your customers mainly other companies?</v>
      </c>
      <c r="C38" s="32" t="s">
        <v>30</v>
      </c>
      <c r="D38" s="48"/>
      <c r="E38" s="54"/>
      <c r="F38" s="54"/>
    </row>
    <row r="39" customFormat="false" ht="19.5" hidden="false" customHeight="true" outlineLevel="0" collapsed="false">
      <c r="A39" s="2"/>
      <c r="B39" s="33" t="str">
        <f aca="false">'12.lan'!D319</f>
        <v>Enter the 3 most important industry sectors which your company is active in, including a rough share of turnover</v>
      </c>
      <c r="C39" s="44"/>
      <c r="D39" s="44"/>
      <c r="E39" s="38"/>
    </row>
    <row r="40" customFormat="false" ht="19.5" hidden="false" customHeight="true" outlineLevel="0" collapsed="false">
      <c r="A40" s="2"/>
      <c r="B40" s="33" t="str">
        <f aca="false">'12.lan'!D320</f>
        <v>Industry sector</v>
      </c>
      <c r="C40" s="33" t="str">
        <f aca="false">'12.lan'!D321</f>
        <v>Description</v>
      </c>
      <c r="D40" s="33" t="str">
        <f aca="false">'12.lan'!D322</f>
        <v>% Amount of total turnover</v>
      </c>
      <c r="E40" s="55"/>
    </row>
    <row r="41" customFormat="false" ht="19.5" hidden="false" customHeight="true" outlineLevel="0" collapsed="false">
      <c r="A41" s="2"/>
      <c r="B41" s="45" t="s">
        <v>31</v>
      </c>
      <c r="C41" s="45"/>
      <c r="D41" s="52" t="n">
        <v>0.87</v>
      </c>
      <c r="E41" s="56"/>
      <c r="F41" s="57" t="str">
        <f aca="false">IF(SUM(D41:D43)&gt;"100%","fehlerhafte Eingabe","")</f>
        <v/>
      </c>
    </row>
    <row r="42" customFormat="false" ht="19.5" hidden="false" customHeight="true" outlineLevel="0" collapsed="false">
      <c r="A42" s="2"/>
      <c r="B42" s="45" t="s">
        <v>32</v>
      </c>
      <c r="C42" s="45" t="s">
        <v>33</v>
      </c>
      <c r="D42" s="52" t="n">
        <v>0.13</v>
      </c>
      <c r="E42" s="56"/>
    </row>
    <row r="43" customFormat="false" ht="19.5" hidden="false" customHeight="true" outlineLevel="0" collapsed="false">
      <c r="A43" s="2"/>
      <c r="B43" s="45" t="s">
        <v>23</v>
      </c>
      <c r="C43" s="45"/>
      <c r="D43" s="52" t="n">
        <v>0</v>
      </c>
      <c r="E43" s="56"/>
      <c r="F43" s="58" t="str">
        <f aca="false">IF(SUM(D41:D43)&gt;1,'12.lan'!D44,"")</f>
        <v/>
      </c>
    </row>
    <row r="44" customFormat="false" ht="9.75" hidden="false" customHeight="true" outlineLevel="0" collapsed="false">
      <c r="A44" s="2"/>
      <c r="B44" s="37"/>
      <c r="C44" s="38"/>
    </row>
    <row r="45" customFormat="false" ht="19.5" hidden="false" customHeight="true" outlineLevel="0" collapsed="false">
      <c r="A45" s="2"/>
      <c r="B45" s="31" t="str">
        <f aca="false">'12.lan'!B175</f>
        <v>E: Social environment</v>
      </c>
      <c r="C45" s="44"/>
      <c r="D45" s="44"/>
      <c r="E45" s="44"/>
      <c r="F45" s="44"/>
    </row>
    <row r="46" customFormat="false" ht="19.5" hidden="false" customHeight="true" outlineLevel="0" collapsed="false">
      <c r="A46" s="2"/>
      <c r="B46" s="33" t="str">
        <f aca="false">'12.lan'!D323</f>
        <v>Company size</v>
      </c>
      <c r="C46" s="33" t="str">
        <f aca="false">'9. Weighting'!H39</f>
        <v>Micro-business</v>
      </c>
    </row>
    <row r="47" customFormat="false" ht="9.75" hidden="false" customHeight="true" outlineLevel="0" collapsed="false">
      <c r="A47" s="2"/>
      <c r="B47" s="37"/>
      <c r="C47" s="38"/>
    </row>
    <row r="48" customFormat="false" ht="9.75" hidden="false" customHeight="true" outlineLevel="0" collapsed="false">
      <c r="A48" s="2"/>
      <c r="B48" s="37"/>
      <c r="C48" s="38"/>
    </row>
  </sheetData>
  <sheetProtection algorithmName="SHA-512" hashValue="1B4YNiGmfI1ObO+b+iCECjhY4EbNRcdB1NGEJi96FeweEF72QgASXcOPuJnzicXMm3Pz8LItOqlpwTrB78zyeQ==" saltValue="l+gQfxZlTMKPGbdWDH27MQ==" spinCount="100000" sheet="true" objects="true" scenarios="true"/>
  <mergeCells count="4">
    <mergeCell ref="B2:C2"/>
    <mergeCell ref="B3:C3"/>
    <mergeCell ref="B4:C4"/>
    <mergeCell ref="B15:C15"/>
  </mergeCells>
  <conditionalFormatting sqref="F10:F14">
    <cfRule type="cellIs" priority="2" operator="equal" aboveAverage="0" equalAverage="0" bottom="0" percent="0" rank="0" text="" dxfId="0">
      <formula>0</formula>
    </cfRule>
    <cfRule type="cellIs" priority="3" operator="equal" aboveAverage="0" equalAverage="0" bottom="0" percent="0" rank="0" text="" dxfId="1">
      <formula>0</formula>
    </cfRule>
  </conditionalFormatting>
  <conditionalFormatting sqref="C18:C23">
    <cfRule type="cellIs" priority="4" operator="equal" aboveAverage="0" equalAverage="0" bottom="0" percent="0" rank="0" text="" dxfId="2">
      <formula>0</formula>
    </cfRule>
  </conditionalFormatting>
  <conditionalFormatting sqref="C26:C27">
    <cfRule type="cellIs" priority="5" operator="equal" aboveAverage="0" equalAverage="0" bottom="0" percent="0" rank="0" text="" dxfId="3">
      <formula>0</formula>
    </cfRule>
  </conditionalFormatting>
  <conditionalFormatting sqref="D30:D32">
    <cfRule type="cellIs" priority="6" operator="equal" aboveAverage="0" equalAverage="0" bottom="0" percent="0" rank="0" text="" dxfId="4">
      <formula>0</formula>
    </cfRule>
  </conditionalFormatting>
  <conditionalFormatting sqref="C33">
    <cfRule type="cellIs" priority="7" operator="equal" aboveAverage="0" equalAverage="0" bottom="0" percent="0" rank="0" text="" dxfId="5">
      <formula>0</formula>
    </cfRule>
  </conditionalFormatting>
  <conditionalFormatting sqref="D41:D43">
    <cfRule type="cellIs" priority="8" operator="equal" aboveAverage="0" equalAverage="0" bottom="0" percent="0" rank="0" text="" dxfId="6">
      <formula>0</formula>
    </cfRule>
  </conditionalFormatting>
  <conditionalFormatting sqref="C37">
    <cfRule type="cellIs" priority="9" operator="equal" aboveAverage="0" equalAverage="0" bottom="0" percent="0" rank="0" text="" dxfId="7">
      <formula>0</formula>
    </cfRule>
  </conditionalFormatting>
  <conditionalFormatting sqref="B41:B43">
    <cfRule type="cellIs" priority="10" operator="equal" aboveAverage="0" equalAverage="0" bottom="0" percent="0" rank="0" text="" dxfId="8">
      <formula>"S - Andere Dienstleistungen"</formula>
    </cfRule>
  </conditionalFormatting>
  <conditionalFormatting sqref="C7">
    <cfRule type="cellIs" priority="11" operator="equal" aboveAverage="0" equalAverage="0" bottom="0" percent="0" rank="0" text="" dxfId="9">
      <formula>0</formula>
    </cfRule>
    <cfRule type="cellIs" priority="12" operator="equal" aboveAverage="0" equalAverage="0" bottom="0" percent="0" rank="0" text="" dxfId="10">
      <formula>0</formula>
    </cfRule>
  </conditionalFormatting>
  <conditionalFormatting sqref="C34">
    <cfRule type="cellIs" priority="13" operator="equal" aboveAverage="0" equalAverage="0" bottom="0" percent="0" rank="0" text="" dxfId="11">
      <formula>0</formula>
    </cfRule>
  </conditionalFormatting>
  <conditionalFormatting sqref="C38">
    <cfRule type="cellIs" priority="14" operator="equal" aboveAverage="0" equalAverage="0" bottom="0" percent="0" rank="0" text="" dxfId="12">
      <formula>0</formula>
    </cfRule>
  </conditionalFormatting>
  <dataValidations count="6">
    <dataValidation allowBlank="false" errorStyle="stop" operator="equal" showDropDown="false" showErrorMessage="true" showInputMessage="true" sqref="B13:B14" type="list">
      <formula1>Branchen</formula1>
      <formula2>0</formula2>
    </dataValidation>
    <dataValidation allowBlank="false" errorStyle="stop" operator="equal" showDropDown="false" showErrorMessage="true" showInputMessage="true" sqref="D13:D15 B32" type="list">
      <formula1>CountryCodes</formula1>
      <formula2>0</formula2>
    </dataValidation>
    <dataValidation allowBlank="false" errorStyle="stop" operator="equal" showDropDown="false" showErrorMessage="true" showInputMessage="true" sqref="E10:E15 B15:C15 C30:C32" type="none">
      <formula1>0</formula1>
      <formula2>0</formula2>
    </dataValidation>
    <dataValidation allowBlank="false" errorStyle="stop" operator="equal" showDropDown="false" showErrorMessage="true" showInputMessage="true" sqref="D10:D12 B30:B31" type="list">
      <formula1>CountryCodes</formula1>
      <formula2>0</formula2>
    </dataValidation>
    <dataValidation allowBlank="false" errorStyle="stop" operator="equal" showDropDown="false" showErrorMessage="true" showInputMessage="true" sqref="B10:B12 B41:B43" type="list">
      <formula1>Branchen</formula1>
      <formula2>0</formula2>
    </dataValidation>
    <dataValidation allowBlank="false" errorStyle="stop" operator="between" showDropDown="false" showErrorMessage="true" showInputMessage="true" sqref="C34 C38" type="list">
      <formula1>$M$2:$M$3</formula1>
      <formula2>0</formula2>
    </dataValidation>
  </dataValidations>
  <printOptions headings="false" gridLines="false" gridLinesSet="true" horizontalCentered="false" verticalCentered="false"/>
  <pageMargins left="0.559722222222222" right="0.7" top="0.6"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O107"/>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8" topLeftCell="A78" activePane="bottomLeft" state="frozen"/>
      <selection pane="topLeft" activeCell="A1" activeCellId="0" sqref="A1"/>
      <selection pane="bottomLeft" activeCell="J4" activeCellId="0" sqref="J4"/>
    </sheetView>
  </sheetViews>
  <sheetFormatPr defaultColWidth="10.71484375" defaultRowHeight="12.75" zeroHeight="false" outlineLevelRow="0" outlineLevelCol="0"/>
  <cols>
    <col collapsed="false" customWidth="true" hidden="false" outlineLevel="0" max="1" min="1" style="1" width="1.29"/>
    <col collapsed="false" customWidth="true" hidden="false" outlineLevel="0" max="2" min="2" style="59" width="6.71"/>
    <col collapsed="false" customWidth="true" hidden="false" outlineLevel="0" max="3" min="3" style="60" width="68.71"/>
    <col collapsed="false" customWidth="true" hidden="false" outlineLevel="0" max="4" min="4" style="61" width="6.28"/>
    <col collapsed="false" customWidth="true" hidden="false" outlineLevel="0" max="5" min="5" style="61" width="12.71"/>
    <col collapsed="false" customWidth="true" hidden="false" outlineLevel="0" max="6" min="6" style="59" width="42.71"/>
    <col collapsed="false" customWidth="true" hidden="false" outlineLevel="0" max="7" min="7" style="59" width="4.28"/>
    <col collapsed="false" customWidth="true" hidden="false" outlineLevel="0" max="8" min="8" style="61" width="8.14"/>
    <col collapsed="false" customWidth="true" hidden="false" outlineLevel="0" max="9" min="9" style="62" width="7.28"/>
    <col collapsed="false" customWidth="true" hidden="false" outlineLevel="0" max="10" min="10" style="63" width="7.28"/>
    <col collapsed="false" customWidth="true" hidden="true" outlineLevel="0" max="11" min="11" style="1" width="9.71"/>
    <col collapsed="false" customWidth="true" hidden="true" outlineLevel="0" max="12" min="12" style="1" width="12"/>
    <col collapsed="false" customWidth="true" hidden="true" outlineLevel="0" max="13" min="13" style="1" width="4.85"/>
    <col collapsed="false" customWidth="true" hidden="false" outlineLevel="0" max="14" min="14" style="1" width="21.15"/>
    <col collapsed="false" customWidth="false" hidden="true" outlineLevel="0" max="15" min="15" style="1" width="10.71"/>
    <col collapsed="false" customWidth="false" hidden="false" outlineLevel="0" max="16" min="16" style="1" width="10.71"/>
    <col collapsed="false" customWidth="true" hidden="false" outlineLevel="0" max="17" min="17" style="1" width="13.71"/>
    <col collapsed="false" customWidth="false" hidden="false" outlineLevel="0" max="1024" min="18" style="1" width="10.71"/>
  </cols>
  <sheetData>
    <row r="1" customFormat="false" ht="12.75" hidden="false" customHeight="true" outlineLevel="0" collapsed="false">
      <c r="A1" s="2"/>
      <c r="B1" s="27"/>
      <c r="C1" s="35"/>
      <c r="D1" s="64"/>
      <c r="E1" s="64"/>
      <c r="F1" s="27"/>
      <c r="G1" s="27"/>
      <c r="H1" s="64"/>
      <c r="I1" s="65"/>
      <c r="J1" s="66"/>
    </row>
    <row r="2" customFormat="false" ht="12.75" hidden="false" customHeight="true" outlineLevel="0" collapsed="false">
      <c r="A2" s="2"/>
      <c r="B2" s="21" t="str">
        <f aca="false">'12.lan'!D91&amp;" - "&amp;'0. Intro'!B3&amp;" "&amp;'0. Intro'!C3</f>
        <v>Common Good Balance Calculator - Version 5.06</v>
      </c>
      <c r="C2" s="21"/>
      <c r="D2" s="64"/>
      <c r="E2" s="64"/>
      <c r="F2" s="27"/>
      <c r="G2" s="67"/>
      <c r="H2" s="68"/>
      <c r="I2" s="68"/>
      <c r="J2" s="68"/>
    </row>
    <row r="3" customFormat="false" ht="5.25" hidden="false" customHeight="true" outlineLevel="0" collapsed="false">
      <c r="A3" s="2"/>
      <c r="B3" s="69" t="str">
        <f aca="false">'12.lan'!D90</f>
        <v>CALCULATION OF INDIVIDUAL ASPECTS</v>
      </c>
      <c r="C3" s="69"/>
      <c r="D3" s="69"/>
      <c r="E3" s="70"/>
      <c r="F3" s="71"/>
      <c r="G3" s="27"/>
      <c r="H3" s="68"/>
      <c r="I3" s="68"/>
      <c r="J3" s="68"/>
    </row>
    <row r="4" customFormat="false" ht="19.5" hidden="false" customHeight="true" outlineLevel="0" collapsed="false">
      <c r="A4" s="2"/>
      <c r="B4" s="69"/>
      <c r="C4" s="69"/>
      <c r="D4" s="69"/>
      <c r="E4" s="70"/>
      <c r="F4" s="72" t="str">
        <f aca="false">'12.lan'!D92</f>
        <v>Total Balance Score:</v>
      </c>
      <c r="G4" s="73"/>
      <c r="H4" s="74" t="n">
        <f aca="false">I4/J4</f>
        <v>-0.389047619047619</v>
      </c>
      <c r="I4" s="75" t="n">
        <f aca="false">IF(SUM(I9+I23+I38+I59+I76)*1000/SUM(J9+J23+J38+J59+J76)&lt;-3600,-3600,SUM(I9+I23+I38+I59+I76)*1000/SUM(J9+J23+J38+J59+J76))</f>
        <v>-389.047619047619</v>
      </c>
      <c r="J4" s="76" t="n">
        <f aca="false">SUM(J9+J23+J38+J59+J76)*1000/SUM(J9+J23+J38+J59+J76)</f>
        <v>1000</v>
      </c>
      <c r="L4" s="77" t="s">
        <v>34</v>
      </c>
      <c r="M4" s="77"/>
      <c r="O4" s="1" t="s">
        <v>35</v>
      </c>
    </row>
    <row r="5" customFormat="false" ht="12.75" hidden="false" customHeight="true" outlineLevel="0" collapsed="false">
      <c r="A5" s="2"/>
      <c r="B5" s="78" t="str">
        <f aca="false">'12.lan'!D82&amp;": "&amp;'1. General'!C6&amp;"; "&amp;'12.lan'!D83&amp;": "&amp;'1. General'!C12</f>
        <v>Company / Organisation: LuftGewinn; Period under review: 01.01.2019 - 31.12.2019</v>
      </c>
      <c r="C5" s="78"/>
      <c r="D5" s="78"/>
      <c r="E5" s="79"/>
      <c r="F5" s="72"/>
      <c r="G5" s="80"/>
      <c r="H5" s="74"/>
      <c r="I5" s="75"/>
      <c r="J5" s="76"/>
    </row>
    <row r="6" customFormat="false" ht="13.5" hidden="false" customHeight="true" outlineLevel="0" collapsed="false">
      <c r="A6" s="2"/>
      <c r="B6" s="27"/>
      <c r="C6" s="35"/>
      <c r="D6" s="64"/>
      <c r="E6" s="64"/>
      <c r="F6" s="27"/>
      <c r="G6" s="27"/>
      <c r="H6" s="64"/>
      <c r="I6" s="65"/>
      <c r="J6" s="66"/>
    </row>
    <row r="7" customFormat="false" ht="29.25" hidden="false" customHeight="true" outlineLevel="0" collapsed="false">
      <c r="A7" s="2"/>
      <c r="B7" s="81"/>
      <c r="C7" s="81"/>
      <c r="D7" s="81"/>
      <c r="E7" s="81"/>
      <c r="F7" s="81"/>
      <c r="G7" s="81"/>
      <c r="H7" s="81"/>
      <c r="I7" s="81"/>
      <c r="J7" s="81"/>
    </row>
    <row r="8" customFormat="false" ht="30" hidden="false" customHeight="true" outlineLevel="0" collapsed="false">
      <c r="A8" s="2"/>
      <c r="B8" s="82" t="str">
        <f aca="false">'12.lan'!D93</f>
        <v>No.</v>
      </c>
      <c r="C8" s="82" t="str">
        <f aca="false">'12.lan'!D107</f>
        <v>Stakeholders/ Themes/ Aspects</v>
      </c>
      <c r="D8" s="83" t="str">
        <f aca="false">'12.lan'!D96</f>
        <v>Weight</v>
      </c>
      <c r="E8" s="83"/>
      <c r="F8" s="84" t="str">
        <f aca="false">'12.lan'!D102</f>
        <v>Current status</v>
      </c>
      <c r="G8" s="84"/>
      <c r="H8" s="85" t="str">
        <f aca="false">'12.lan'!D104</f>
        <v>Est%</v>
      </c>
      <c r="I8" s="86" t="str">
        <f aca="false">'12.lan'!D105</f>
        <v>Points</v>
      </c>
      <c r="J8" s="86" t="str">
        <f aca="false">'12.lan'!D106</f>
        <v>Max.</v>
      </c>
      <c r="L8" s="87" t="s">
        <v>36</v>
      </c>
      <c r="M8" s="87"/>
      <c r="O8" s="88" t="s">
        <v>37</v>
      </c>
    </row>
    <row r="9" customFormat="false" ht="36" hidden="false" customHeight="true" outlineLevel="0" collapsed="false">
      <c r="A9" s="2"/>
      <c r="B9" s="89" t="s">
        <v>38</v>
      </c>
      <c r="C9" s="90" t="str">
        <f aca="false">'12.lan'!D108</f>
        <v>Suppliers</v>
      </c>
      <c r="D9" s="91" t="n">
        <f aca="false">L9</f>
        <v>0.5</v>
      </c>
      <c r="E9" s="92" t="str">
        <f aca="false">VLOOKUP(D9,$C$102:$D$106,2,FALSE())</f>
        <v>low</v>
      </c>
      <c r="F9" s="90"/>
      <c r="G9" s="90"/>
      <c r="H9" s="93" t="n">
        <f aca="false">IFERROR(I9/J9,0)</f>
        <v>-0.875</v>
      </c>
      <c r="I9" s="94" t="n">
        <f aca="false">I10+I13+I17+I20</f>
        <v>-83.3333333333333</v>
      </c>
      <c r="J9" s="94" t="n">
        <f aca="false">J10+J13+J17+J20</f>
        <v>95.2380952380952</v>
      </c>
      <c r="L9" s="1" t="n">
        <f aca="false">'9. Weighting'!K49</f>
        <v>0.5</v>
      </c>
      <c r="N9" s="95" t="str">
        <f aca="false">IF(D9&lt;&gt;L9,'12.lan'!$D$240&amp;VLOOKUP(L9,$C$102:$D$106,2,FALSE())&amp;" ("&amp;L9&amp;")","")</f>
        <v/>
      </c>
    </row>
    <row r="10" customFormat="false" ht="33" hidden="false" customHeight="true" outlineLevel="0" collapsed="false">
      <c r="A10" s="2"/>
      <c r="B10" s="96" t="s">
        <v>39</v>
      </c>
      <c r="C10" s="97" t="str">
        <f aca="false">'12.lan'!D109</f>
        <v>Human dignity in the supply chain</v>
      </c>
      <c r="D10" s="98" t="n">
        <f aca="false">IF(K10="trifft nicht zu",C106,'9. Weighting'!M16)</f>
        <v>1</v>
      </c>
      <c r="E10" s="99" t="str">
        <f aca="false">VLOOKUP(D10,$C$102:$D$106,2,FALSE())</f>
        <v>medium</v>
      </c>
      <c r="F10" s="100" t="n">
        <f aca="false">'9. Weighting'!M16</f>
        <v>1</v>
      </c>
      <c r="G10" s="97"/>
      <c r="H10" s="101" t="n">
        <f aca="false">IF(J10&lt;&gt;0,SUM(I11:I12)/J10,"-")</f>
        <v>-1.8</v>
      </c>
      <c r="I10" s="102" t="n">
        <f aca="false">IF(J10=0,0,H10*J10)</f>
        <v>-42.8571428571429</v>
      </c>
      <c r="J10" s="102" t="n">
        <f aca="false">'9. Weighting'!M15</f>
        <v>23.8095238095238</v>
      </c>
      <c r="L10" s="1" t="n">
        <f aca="false">VLOOKUP(O10,$C$102:$E$106,3,FALSE())</f>
        <v>1</v>
      </c>
      <c r="M10" s="1" t="n">
        <f aca="false">VLOOKUP(D10,$C$102:$E$106,3,FALSE())</f>
        <v>1</v>
      </c>
      <c r="N10" s="46" t="str">
        <f aca="false">IF(L10=M10,"",'12.lan'!$D$240&amp;VLOOKUP(L10,$C$102:$D$106,2,FALSE())&amp;" ("&amp;L10&amp;")")</f>
        <v/>
      </c>
      <c r="O10" s="1" t="n">
        <f aca="false">IF(K10="trifft nicht zu",C106,'9. Weighting'!M16)</f>
        <v>1</v>
      </c>
    </row>
    <row r="11" customFormat="false" ht="33.75" hidden="false" customHeight="true" outlineLevel="0" collapsed="false">
      <c r="A11" s="2"/>
      <c r="B11" s="103" t="s">
        <v>40</v>
      </c>
      <c r="C11" s="103" t="str">
        <f aca="false">'12.lan'!D110</f>
        <v>Working conditions and social impact in the supply chain</v>
      </c>
      <c r="D11" s="104"/>
      <c r="E11" s="105"/>
      <c r="F11" s="106" t="str">
        <f aca="false">'12.lan'!$D$329</f>
        <v>Introduce value between 0 and 10</v>
      </c>
      <c r="G11" s="107"/>
      <c r="H11" s="108" t="n">
        <v>2</v>
      </c>
      <c r="I11" s="109" t="n">
        <f aca="false">J11*H11/10</f>
        <v>4.76190476190476</v>
      </c>
      <c r="J11" s="110" t="n">
        <f aca="false">J10*K11/K11</f>
        <v>23.8095238095238</v>
      </c>
      <c r="K11" s="1" t="n">
        <v>1</v>
      </c>
      <c r="N11" s="46" t="str">
        <f aca="false">IF(L11=M11,"",'12.lan'!$D$240&amp;" "&amp;VLOOKUP(L11,$C$102:$D$106,2,FALSE())&amp;" ("&amp;L11&amp;")")</f>
        <v/>
      </c>
    </row>
    <row r="12" customFormat="false" ht="30" hidden="false" customHeight="true" outlineLevel="0" collapsed="false">
      <c r="A12" s="2"/>
      <c r="B12" s="103" t="s">
        <v>41</v>
      </c>
      <c r="C12" s="103" t="str">
        <f aca="false">'12.lan'!D111</f>
        <v>Negative aspect: violation of human dignity in the supply chain</v>
      </c>
      <c r="D12" s="104"/>
      <c r="E12" s="105"/>
      <c r="F12" s="106" t="str">
        <f aca="false">'12.lan'!$D$330</f>
        <v>Introduce negative points between 0 and -200</v>
      </c>
      <c r="G12" s="107"/>
      <c r="H12" s="108" t="n">
        <v>-100</v>
      </c>
      <c r="I12" s="109" t="n">
        <f aca="false">H12*J10/50</f>
        <v>-47.6190476190476</v>
      </c>
      <c r="J12" s="110" t="n">
        <f aca="false">-200*J10/50</f>
        <v>-95.2380952380952</v>
      </c>
    </row>
    <row r="13" customFormat="false" ht="33" hidden="false" customHeight="true" outlineLevel="0" collapsed="false">
      <c r="A13" s="2"/>
      <c r="B13" s="96" t="s">
        <v>42</v>
      </c>
      <c r="C13" s="97" t="str">
        <f aca="false">'12.lan'!D112</f>
        <v>Solidarity and social justice in the supply chain</v>
      </c>
      <c r="D13" s="98" t="n">
        <f aca="false">IF(K13="trifft nicht zu",C106,'9. Weighting'!N16)</f>
        <v>1</v>
      </c>
      <c r="E13" s="99" t="str">
        <f aca="false">VLOOKUP(D13,$C$102:$D$106,2,FALSE())</f>
        <v>medium</v>
      </c>
      <c r="F13" s="111" t="n">
        <f aca="false">IF(K13="trifft nicht zu","trifft nicht zu",'9. Weighting'!N16)</f>
        <v>1</v>
      </c>
      <c r="G13" s="112"/>
      <c r="H13" s="101" t="n">
        <f aca="false">IF(J13&lt;&gt;0,SUM(I14:I16)/J13,"-")</f>
        <v>-1.8</v>
      </c>
      <c r="I13" s="102" t="n">
        <f aca="false">IF(J13=0,0,H13*J13)</f>
        <v>-42.8571428571429</v>
      </c>
      <c r="J13" s="102" t="n">
        <f aca="false">'9. Weighting'!N15</f>
        <v>23.8095238095238</v>
      </c>
      <c r="K13" s="1" t="str">
        <f aca="false">IF(AND(D14="trifft nicht zu",D15="trifft nicht zu"),"trifft nicht zu","")</f>
        <v/>
      </c>
      <c r="L13" s="1" t="n">
        <f aca="false">VLOOKUP(O13,$C$102:$E$106,3,FALSE())</f>
        <v>1</v>
      </c>
      <c r="M13" s="1" t="n">
        <f aca="false">VLOOKUP(D13,$C$102:$E$106,3,FALSE())</f>
        <v>1</v>
      </c>
      <c r="N13" s="46" t="str">
        <f aca="false">IF(L13=M13,"",'12.lan'!$D$240&amp;VLOOKUP(L13,$C$102:$D$106,2,FALSE())&amp;" ("&amp;L13&amp;")")</f>
        <v/>
      </c>
      <c r="O13" s="1" t="n">
        <f aca="false">IF(K13="trifft nicht zu",C106,'9. Weighting'!N16)</f>
        <v>1</v>
      </c>
    </row>
    <row r="14" customFormat="false" ht="30" hidden="false" customHeight="true" outlineLevel="0" collapsed="false">
      <c r="A14" s="2"/>
      <c r="B14" s="103" t="s">
        <v>43</v>
      </c>
      <c r="C14" s="103" t="str">
        <f aca="false">'12.lan'!D113</f>
        <v>Fair business practices towards direct suppliers</v>
      </c>
      <c r="D14" s="104" t="n">
        <v>1</v>
      </c>
      <c r="E14" s="113" t="str">
        <f aca="false">VLOOKUP(D14,$C$102:$D$106,2,FALSE())</f>
        <v>medium</v>
      </c>
      <c r="F14" s="106" t="str">
        <f aca="false">'12.lan'!$D$329</f>
        <v>Introduce value between 0 and 10</v>
      </c>
      <c r="G14" s="107"/>
      <c r="H14" s="108" t="n">
        <v>4</v>
      </c>
      <c r="I14" s="109" t="n">
        <f aca="false">IFERROR(J14*H14/10,0)</f>
        <v>4.76190476190476</v>
      </c>
      <c r="J14" s="110" t="n">
        <f aca="false">IFERROR(J13*K14/(K15+K14),0)</f>
        <v>11.9047619047619</v>
      </c>
      <c r="K14" s="1" t="n">
        <f aca="false">VLOOKUP(D14,$C$102:$E$106,3,FALSE())</f>
        <v>1</v>
      </c>
      <c r="L14" s="1" t="n">
        <f aca="false">VLOOKUP(O14,$C$102:$E$106,3,FALSE())</f>
        <v>1</v>
      </c>
      <c r="M14" s="1" t="n">
        <f aca="false">VLOOKUP(D14,$C$102:$E$106,3,FALSE())</f>
        <v>1</v>
      </c>
      <c r="N14" s="46" t="str">
        <f aca="false">IF(L14=M14,"",'12.lan'!$D$240&amp;VLOOKUP(L14,$C$102:$D$106,2,FALSE())&amp;" ("&amp;L14&amp;")")</f>
        <v/>
      </c>
      <c r="O14" s="1" t="n">
        <f aca="false">C104</f>
        <v>1</v>
      </c>
    </row>
    <row r="15" customFormat="false" ht="34.5" hidden="false" customHeight="true" outlineLevel="0" collapsed="false">
      <c r="A15" s="2"/>
      <c r="B15" s="103" t="s">
        <v>44</v>
      </c>
      <c r="C15" s="103" t="str">
        <f aca="false">'12.lan'!D114</f>
        <v>Exercising a positive influence on solidarity and social justice in the supply chain</v>
      </c>
      <c r="D15" s="104" t="n">
        <f aca="false">C104</f>
        <v>1</v>
      </c>
      <c r="E15" s="105" t="str">
        <f aca="false">VLOOKUP(D15,$C$102:$D$106,2,FALSE())</f>
        <v>medium</v>
      </c>
      <c r="F15" s="106" t="str">
        <f aca="false">'12.lan'!$D$329</f>
        <v>Introduce value between 0 and 10</v>
      </c>
      <c r="G15" s="107"/>
      <c r="H15" s="108"/>
      <c r="I15" s="109" t="n">
        <f aca="false">IFERROR(J15*H15/10,0)</f>
        <v>0</v>
      </c>
      <c r="J15" s="110" t="n">
        <f aca="false">IFERROR(J13*K15/(K14+K15),0)</f>
        <v>11.9047619047619</v>
      </c>
      <c r="K15" s="1" t="n">
        <f aca="false">VLOOKUP(D15,$C$102:$E$106,3,FALSE())</f>
        <v>1</v>
      </c>
      <c r="L15" s="1" t="n">
        <f aca="false">VLOOKUP(O15,$C$102:$E$106,3,FALSE())</f>
        <v>1</v>
      </c>
      <c r="M15" s="1" t="n">
        <f aca="false">VLOOKUP(D15,$C$102:$E$106,3,FALSE())</f>
        <v>1</v>
      </c>
      <c r="N15" s="46" t="str">
        <f aca="false">IF(L15=M15,"",'12.lan'!$D$240&amp;VLOOKUP(L15,$C$102:$D$106,2,FALSE())&amp;" ("&amp;L15&amp;")")</f>
        <v/>
      </c>
      <c r="O15" s="1" t="n">
        <f aca="false">C104</f>
        <v>1</v>
      </c>
    </row>
    <row r="16" customFormat="false" ht="33" hidden="false" customHeight="true" outlineLevel="0" collapsed="false">
      <c r="A16" s="2"/>
      <c r="B16" s="103" t="s">
        <v>45</v>
      </c>
      <c r="C16" s="103" t="str">
        <f aca="false">'12.lan'!D115</f>
        <v>Negative aspect: abuse of market power against suppliers</v>
      </c>
      <c r="D16" s="104"/>
      <c r="E16" s="105"/>
      <c r="F16" s="106" t="str">
        <f aca="false">'12.lan'!$D$330</f>
        <v>Introduce negative points between 0 and -200</v>
      </c>
      <c r="G16" s="107"/>
      <c r="H16" s="108" t="n">
        <v>-100</v>
      </c>
      <c r="I16" s="109" t="n">
        <f aca="false">H16*J13/50</f>
        <v>-47.6190476190476</v>
      </c>
      <c r="J16" s="110" t="n">
        <f aca="false">-200*J13/50</f>
        <v>-95.2380952380952</v>
      </c>
    </row>
    <row r="17" customFormat="false" ht="33" hidden="false" customHeight="true" outlineLevel="0" collapsed="false">
      <c r="A17" s="2"/>
      <c r="B17" s="96" t="s">
        <v>46</v>
      </c>
      <c r="C17" s="97" t="str">
        <f aca="false">'12.lan'!D116</f>
        <v>Environmental sustainability in the supply chain</v>
      </c>
      <c r="D17" s="98" t="n">
        <f aca="false">IF(K17="trifft nicht zu",C106,'9. Weighting'!O16)</f>
        <v>1</v>
      </c>
      <c r="E17" s="99" t="str">
        <f aca="false">VLOOKUP(D17,$C$102:$D$106,2,FALSE())</f>
        <v>medium</v>
      </c>
      <c r="F17" s="111" t="n">
        <f aca="false">IF(K17="trifft nicht zu","trifft nicht zu",'9. Weighting'!O16)</f>
        <v>1</v>
      </c>
      <c r="G17" s="112"/>
      <c r="H17" s="101" t="n">
        <f aca="false">IF(J17&lt;&gt;0,SUM(I18:I19)/J17,"-")</f>
        <v>0.1</v>
      </c>
      <c r="I17" s="102" t="n">
        <f aca="false">IF(J17=0,0,H17*J17)</f>
        <v>2.38095238095238</v>
      </c>
      <c r="J17" s="102" t="n">
        <f aca="false">'9. Weighting'!O15</f>
        <v>23.8095238095238</v>
      </c>
      <c r="K17" s="1" t="str">
        <f aca="false">IF(D18="trifft nicht zu","trifft nicht zu","")</f>
        <v/>
      </c>
      <c r="L17" s="1" t="n">
        <f aca="false">VLOOKUP(O17,$C$102:$E$106,3,FALSE())</f>
        <v>1</v>
      </c>
      <c r="M17" s="1" t="n">
        <f aca="false">VLOOKUP(D17,$C$102:$E$106,3,FALSE())</f>
        <v>1</v>
      </c>
      <c r="N17" s="46" t="str">
        <f aca="false">IF(L17=M17,"",'12.lan'!$D$240&amp;VLOOKUP(L17,$C$102:$D$106,2,FALSE())&amp;" ("&amp;L17&amp;")")</f>
        <v/>
      </c>
      <c r="O17" s="1" t="n">
        <f aca="false">IF(K17="trifft nicht zu",C106,'9. Weighting'!O16)</f>
        <v>1</v>
      </c>
    </row>
    <row r="18" customFormat="false" ht="30" hidden="false" customHeight="true" outlineLevel="0" collapsed="false">
      <c r="A18" s="2"/>
      <c r="B18" s="103" t="s">
        <v>47</v>
      </c>
      <c r="C18" s="103" t="str">
        <f aca="false">'12.lan'!D117</f>
        <v>Environmental impact throughout the supply chain</v>
      </c>
      <c r="D18" s="104"/>
      <c r="E18" s="105"/>
      <c r="F18" s="106" t="str">
        <f aca="false">'12.lan'!$D$329</f>
        <v>Introduce value between 0 and 10</v>
      </c>
      <c r="G18" s="107"/>
      <c r="H18" s="108" t="n">
        <v>1</v>
      </c>
      <c r="I18" s="109" t="n">
        <f aca="false">J18*H18/10</f>
        <v>2.38095238095238</v>
      </c>
      <c r="J18" s="110" t="n">
        <f aca="false">J17*K18/K18</f>
        <v>23.8095238095238</v>
      </c>
      <c r="K18" s="1" t="n">
        <v>1</v>
      </c>
      <c r="N18" s="46" t="str">
        <f aca="false">IF(L18=M18,"",'12.lan'!$D$240&amp;VLOOKUP(L18,$C$102:$D$106,2,FALSE())&amp;" ("&amp;L18&amp;")")</f>
        <v/>
      </c>
    </row>
    <row r="19" customFormat="false" ht="33" hidden="false" customHeight="true" outlineLevel="0" collapsed="false">
      <c r="A19" s="2"/>
      <c r="B19" s="103" t="s">
        <v>48</v>
      </c>
      <c r="C19" s="103" t="str">
        <f aca="false">'12.lan'!D118</f>
        <v>Negative aspect: disproportionate environmental impact throughout the supply chain</v>
      </c>
      <c r="D19" s="104"/>
      <c r="E19" s="105"/>
      <c r="F19" s="106" t="str">
        <f aca="false">'12.lan'!$D$330</f>
        <v>Introduce negative points between 0 and -200</v>
      </c>
      <c r="G19" s="107"/>
      <c r="H19" s="108"/>
      <c r="I19" s="109" t="n">
        <f aca="false">H19*J17/50</f>
        <v>0</v>
      </c>
      <c r="J19" s="110" t="n">
        <f aca="false">-200*J17/50</f>
        <v>-95.2380952380952</v>
      </c>
    </row>
    <row r="20" customFormat="false" ht="33" hidden="false" customHeight="true" outlineLevel="0" collapsed="false">
      <c r="A20" s="2"/>
      <c r="B20" s="96" t="s">
        <v>49</v>
      </c>
      <c r="C20" s="97" t="str">
        <f aca="false">'12.lan'!D119</f>
        <v>Transparency &amp; co-determination in the supply chain</v>
      </c>
      <c r="D20" s="98" t="n">
        <f aca="false">IF(K20="trifft nicht zu",C106,'9. Weighting'!P16)</f>
        <v>1</v>
      </c>
      <c r="E20" s="99" t="str">
        <f aca="false">VLOOKUP(D20,$C$102:$D$106,2,FALSE())</f>
        <v>medium</v>
      </c>
      <c r="F20" s="111" t="n">
        <f aca="false">IF(K20="trifft nicht zu","trifft nicht zu",'9. Weighting'!P16)</f>
        <v>1</v>
      </c>
      <c r="G20" s="112"/>
      <c r="H20" s="101" t="n">
        <f aca="false">IF(J20&lt;&gt;0,SUM(I21:I22)/J20,"-")</f>
        <v>0</v>
      </c>
      <c r="I20" s="102" t="n">
        <f aca="false">IF(J20=0,0,H20*J20)</f>
        <v>0</v>
      </c>
      <c r="J20" s="102" t="n">
        <f aca="false">'9. Weighting'!P15</f>
        <v>23.8095238095238</v>
      </c>
      <c r="K20" s="1" t="str">
        <f aca="false">IF(AND(D21="trifft nicht zu",D22="trifft nicht zu"),"trifft nicht zu","")</f>
        <v/>
      </c>
      <c r="L20" s="1" t="n">
        <f aca="false">VLOOKUP(O20,$C$102:$E$106,3,FALSE())</f>
        <v>1</v>
      </c>
      <c r="M20" s="1" t="n">
        <f aca="false">VLOOKUP(D20,$C$102:$E$106,3,FALSE())</f>
        <v>1</v>
      </c>
      <c r="N20" s="46" t="str">
        <f aca="false">IF(L20=M20,"",'12.lan'!$D$240&amp;VLOOKUP(L20,$C$102:$D$106,2,FALSE())&amp;" ("&amp;L20&amp;")")</f>
        <v/>
      </c>
      <c r="O20" s="1" t="n">
        <f aca="false">IF(K20="trifft nicht zu",C106,'9. Weighting'!P16)</f>
        <v>1</v>
      </c>
    </row>
    <row r="21" customFormat="false" ht="36.75" hidden="false" customHeight="true" outlineLevel="0" collapsed="false">
      <c r="A21" s="2"/>
      <c r="B21" s="103" t="s">
        <v>50</v>
      </c>
      <c r="C21" s="103" t="str">
        <f aca="false">'12.lan'!D120</f>
        <v>Transparency towards suppliers and their right to co-determination</v>
      </c>
      <c r="D21" s="104" t="n">
        <f aca="false">C104</f>
        <v>1</v>
      </c>
      <c r="E21" s="105" t="str">
        <f aca="false">VLOOKUP(D21,$C$102:$D$106,2,FALSE())</f>
        <v>medium</v>
      </c>
      <c r="F21" s="106" t="str">
        <f aca="false">'12.lan'!$D$329</f>
        <v>Introduce value between 0 and 10</v>
      </c>
      <c r="G21" s="107"/>
      <c r="H21" s="108"/>
      <c r="I21" s="109" t="n">
        <f aca="false">IFERROR(J21*H21/10,0)</f>
        <v>0</v>
      </c>
      <c r="J21" s="110" t="n">
        <f aca="false">IFERROR(J20*K21/(K22+K21),0)</f>
        <v>11.9047619047619</v>
      </c>
      <c r="K21" s="1" t="n">
        <f aca="false">VLOOKUP(D21,$C$102:$E$106,3,FALSE())</f>
        <v>1</v>
      </c>
      <c r="L21" s="1" t="n">
        <f aca="false">VLOOKUP(O21,$C$102:$E$106,3,FALSE())</f>
        <v>1</v>
      </c>
      <c r="M21" s="1" t="n">
        <f aca="false">VLOOKUP(D21,$C$102:$E$106,3,FALSE())</f>
        <v>1</v>
      </c>
      <c r="N21" s="46" t="str">
        <f aca="false">IF(L21=M21,"",'12.lan'!$D$240&amp;VLOOKUP(L21,$C$102:$D$106,2,FALSE())&amp;" ("&amp;L21&amp;")")</f>
        <v/>
      </c>
      <c r="O21" s="1" t="n">
        <f aca="false">C104</f>
        <v>1</v>
      </c>
    </row>
    <row r="22" customFormat="false" ht="40.5" hidden="false" customHeight="true" outlineLevel="0" collapsed="false">
      <c r="A22" s="2"/>
      <c r="B22" s="103" t="s">
        <v>51</v>
      </c>
      <c r="C22" s="103" t="str">
        <f aca="false">'12.lan'!D121</f>
        <v>Positive influence on transparency and co-determination throughout the supply chain</v>
      </c>
      <c r="D22" s="104" t="n">
        <f aca="false">C104</f>
        <v>1</v>
      </c>
      <c r="E22" s="105" t="str">
        <f aca="false">VLOOKUP(D22,$C$102:$D$106,2,FALSE())</f>
        <v>medium</v>
      </c>
      <c r="F22" s="106" t="str">
        <f aca="false">'12.lan'!$D$329</f>
        <v>Introduce value between 0 and 10</v>
      </c>
      <c r="G22" s="107"/>
      <c r="H22" s="108"/>
      <c r="I22" s="109" t="n">
        <f aca="false">IFERROR(J22*H22/10,0)</f>
        <v>0</v>
      </c>
      <c r="J22" s="110" t="n">
        <f aca="false">IFERROR(J20*K22/(K21+K22),0)</f>
        <v>11.9047619047619</v>
      </c>
      <c r="K22" s="1" t="n">
        <f aca="false">VLOOKUP(D22,$C$102:$E$106,3,FALSE())</f>
        <v>1</v>
      </c>
      <c r="L22" s="1" t="n">
        <f aca="false">VLOOKUP(O22,$C$102:$E$106,3,FALSE())</f>
        <v>1</v>
      </c>
      <c r="M22" s="1" t="n">
        <f aca="false">VLOOKUP(D22,$C$102:$E$106,3,FALSE())</f>
        <v>1</v>
      </c>
      <c r="N22" s="46" t="str">
        <f aca="false">IF(L22=M22,"",'12.lan'!$D$240&amp;VLOOKUP(L22,$C$102:$D$106,2,FALSE())&amp;" ("&amp;L22&amp;")")</f>
        <v/>
      </c>
      <c r="O22" s="1" t="n">
        <f aca="false">C104</f>
        <v>1</v>
      </c>
    </row>
    <row r="23" customFormat="false" ht="36" hidden="false" customHeight="true" outlineLevel="0" collapsed="false">
      <c r="A23" s="2"/>
      <c r="B23" s="89" t="s">
        <v>52</v>
      </c>
      <c r="C23" s="89" t="str">
        <f aca="false">'12.lan'!D122</f>
        <v>Owners, equity- and financial service providers</v>
      </c>
      <c r="D23" s="114" t="n">
        <f aca="false">L23</f>
        <v>2</v>
      </c>
      <c r="E23" s="115" t="str">
        <f aca="false">VLOOKUP(D23,$C$102:$D$106,2,FALSE())</f>
        <v>very high</v>
      </c>
      <c r="F23" s="116"/>
      <c r="G23" s="116"/>
      <c r="H23" s="93" t="n">
        <f aca="false">IFERROR(I23/J23,0)</f>
        <v>0.037037037037037</v>
      </c>
      <c r="I23" s="94" t="n">
        <f aca="false">I24+I28+I31+I35</f>
        <v>15.8730158730159</v>
      </c>
      <c r="J23" s="94" t="n">
        <f aca="false">J24+J28+J31+J35</f>
        <v>428.571428571429</v>
      </c>
      <c r="L23" s="1" t="n">
        <f aca="false">'9. Weighting'!K50</f>
        <v>2</v>
      </c>
      <c r="N23" s="95" t="str">
        <f aca="false">IF(D23&lt;&gt;L23,'12.lan'!$D$240&amp;VLOOKUP(L23,$C$102:$D$106,2,FALSE())&amp;" ("&amp;L23&amp;")","")</f>
        <v/>
      </c>
    </row>
    <row r="24" customFormat="false" ht="33" hidden="false" customHeight="true" outlineLevel="0" collapsed="false">
      <c r="A24" s="2"/>
      <c r="B24" s="96" t="s">
        <v>53</v>
      </c>
      <c r="C24" s="97" t="str">
        <f aca="false">'12.lan'!D123</f>
        <v>Ethical position in relation to financial resources</v>
      </c>
      <c r="D24" s="98" t="n">
        <f aca="false">IF(K24="trifft nicht zu",C106,'9. Weighting'!M24)</f>
        <v>1</v>
      </c>
      <c r="E24" s="117" t="str">
        <f aca="false">VLOOKUP(D24,$C$102:$D$106,2,FALSE())</f>
        <v>medium</v>
      </c>
      <c r="F24" s="111" t="n">
        <f aca="false">IF(K24="trifft nicht zu","trifft nicht zu",'9. Weighting'!M24)</f>
        <v>1</v>
      </c>
      <c r="G24" s="112"/>
      <c r="H24" s="101" t="n">
        <f aca="false">IF(J24&lt;&gt;0,SUM(I25:I27)/J24,"-")</f>
        <v>0.166666666666667</v>
      </c>
      <c r="I24" s="102" t="n">
        <f aca="false">IF(J24=0,0,H24*J24)</f>
        <v>15.8730158730159</v>
      </c>
      <c r="J24" s="102" t="n">
        <f aca="false">'9. Weighting'!M23</f>
        <v>95.2380952380952</v>
      </c>
      <c r="K24" s="1" t="str">
        <f aca="false">IF(AND(D25="trifft nicht zu",D26="trifft nicht zu",,D27="trifft nicht zu"),"trifft nicht zu","")</f>
        <v/>
      </c>
      <c r="L24" s="1" t="n">
        <f aca="false">VLOOKUP(O24,$C$102:$E$106,3,FALSE())</f>
        <v>1</v>
      </c>
      <c r="M24" s="1" t="n">
        <f aca="false">VLOOKUP(D24,$C$102:$E$106,3,FALSE())</f>
        <v>1</v>
      </c>
      <c r="N24" s="46" t="str">
        <f aca="false">IF(L24=M24,"",'12.lan'!$D$240&amp;VLOOKUP(L24,$C$102:$D$106,2,FALSE())&amp;" ("&amp;L24&amp;")")</f>
        <v/>
      </c>
      <c r="O24" s="1" t="n">
        <f aca="false">IF(K24="trifft nicht zu",C106,'9. Weighting'!M24)</f>
        <v>1</v>
      </c>
    </row>
    <row r="25" customFormat="false" ht="30" hidden="false" customHeight="true" outlineLevel="0" collapsed="false">
      <c r="A25" s="2"/>
      <c r="B25" s="118" t="s">
        <v>54</v>
      </c>
      <c r="C25" s="103" t="str">
        <f aca="false">'12.lan'!D124</f>
        <v>Financial independence through equity financing</v>
      </c>
      <c r="D25" s="104" t="n">
        <f aca="false">C104</f>
        <v>1</v>
      </c>
      <c r="E25" s="113" t="str">
        <f aca="false">VLOOKUP(D25,$C$102:$D$106,2,FALSE())</f>
        <v>medium</v>
      </c>
      <c r="F25" s="106" t="str">
        <f aca="false">'12.lan'!$D$329</f>
        <v>Introduce value between 0 and 10</v>
      </c>
      <c r="G25" s="107"/>
      <c r="H25" s="108" t="n">
        <v>0</v>
      </c>
      <c r="I25" s="109" t="n">
        <f aca="false">IFERROR(J25*H25/10,0)</f>
        <v>0</v>
      </c>
      <c r="J25" s="110" t="n">
        <f aca="false">IFERROR($J$24*K25/($K$27+$K$26+$K$25),0)</f>
        <v>31.7460317460317</v>
      </c>
      <c r="K25" s="1" t="n">
        <f aca="false">VLOOKUP(D25,$C$102:$E$106,3,FALSE())</f>
        <v>1</v>
      </c>
      <c r="L25" s="1" t="n">
        <f aca="false">VLOOKUP(O25,$C$102:$E$106,3,FALSE())</f>
        <v>1</v>
      </c>
      <c r="M25" s="1" t="n">
        <f aca="false">VLOOKUP(D25,$C$102:$E$106,3,FALSE())</f>
        <v>1</v>
      </c>
      <c r="N25" s="46" t="str">
        <f aca="false">IF(L25=M25,"",'12.lan'!$D$240&amp;VLOOKUP(L25,$C$102:$D$106,2,FALSE())&amp;" ("&amp;L25&amp;")")</f>
        <v/>
      </c>
      <c r="O25" s="1" t="n">
        <f aca="false">C104</f>
        <v>1</v>
      </c>
    </row>
    <row r="26" customFormat="false" ht="30" hidden="false" customHeight="true" outlineLevel="0" collapsed="false">
      <c r="A26" s="2"/>
      <c r="B26" s="33" t="s">
        <v>55</v>
      </c>
      <c r="C26" s="42" t="str">
        <f aca="false">'12.lan'!D125</f>
        <v>Common Good-orientated borrowing</v>
      </c>
      <c r="D26" s="104" t="n">
        <f aca="false">C104</f>
        <v>1</v>
      </c>
      <c r="E26" s="113" t="str">
        <f aca="false">VLOOKUP(D26,$C$102:$D$106,2,FALSE())</f>
        <v>medium</v>
      </c>
      <c r="F26" s="106" t="str">
        <f aca="false">'12.lan'!$D$329</f>
        <v>Introduce value between 0 and 10</v>
      </c>
      <c r="G26" s="107"/>
      <c r="H26" s="108" t="n">
        <v>5</v>
      </c>
      <c r="I26" s="109" t="n">
        <f aca="false">IFERROR(J26*H26/10,0)</f>
        <v>15.8730158730159</v>
      </c>
      <c r="J26" s="110" t="n">
        <f aca="false">IFERROR($J$24*K26/($K$27+$K$26+$K$25),0)</f>
        <v>31.7460317460317</v>
      </c>
      <c r="K26" s="1" t="n">
        <f aca="false">VLOOKUP(D26,$C$102:$E$106,3,FALSE())</f>
        <v>1</v>
      </c>
      <c r="L26" s="1" t="n">
        <f aca="false">VLOOKUP(O26,$C$102:$E$106,3,FALSE())</f>
        <v>1</v>
      </c>
      <c r="M26" s="1" t="n">
        <f aca="false">VLOOKUP(D26,$C$102:$E$106,3,FALSE())</f>
        <v>1</v>
      </c>
      <c r="N26" s="46" t="str">
        <f aca="false">IF(L26=M26,"",'12.lan'!$D$240&amp;VLOOKUP(L26,$C$102:$D$106,2,FALSE())&amp;" ("&amp;L26&amp;")")</f>
        <v/>
      </c>
      <c r="O26" s="1" t="n">
        <f aca="false">C104</f>
        <v>1</v>
      </c>
    </row>
    <row r="27" customFormat="false" ht="30" hidden="false" customHeight="true" outlineLevel="0" collapsed="false">
      <c r="A27" s="2"/>
      <c r="B27" s="33" t="s">
        <v>56</v>
      </c>
      <c r="C27" s="42" t="str">
        <f aca="false">'12.lan'!D126</f>
        <v>Ethical position of external financial partners</v>
      </c>
      <c r="D27" s="104" t="n">
        <f aca="false">C104</f>
        <v>1</v>
      </c>
      <c r="E27" s="113" t="str">
        <f aca="false">VLOOKUP(D27,$C$102:$D$106,2,FALSE())</f>
        <v>medium</v>
      </c>
      <c r="F27" s="106" t="str">
        <f aca="false">'12.lan'!$D$329</f>
        <v>Introduce value between 0 and 10</v>
      </c>
      <c r="G27" s="107"/>
      <c r="H27" s="108" t="n">
        <v>0</v>
      </c>
      <c r="I27" s="109" t="n">
        <f aca="false">IFERROR(J27*H27/10,0)</f>
        <v>0</v>
      </c>
      <c r="J27" s="110" t="n">
        <f aca="false">IFERROR($J$24*K27/($K$27+$K$26+$K$25),0)</f>
        <v>31.7460317460317</v>
      </c>
      <c r="K27" s="1" t="n">
        <f aca="false">VLOOKUP(D27,$C$102:$E$106,3,FALSE())</f>
        <v>1</v>
      </c>
      <c r="L27" s="1" t="n">
        <f aca="false">VLOOKUP(O27,$C$102:$E$106,3,FALSE())</f>
        <v>1</v>
      </c>
      <c r="M27" s="1" t="n">
        <f aca="false">VLOOKUP(D27,$C$102:$E$106,3,FALSE())</f>
        <v>1</v>
      </c>
      <c r="N27" s="46" t="str">
        <f aca="false">IF(L27=M27,"",'12.lan'!$D$240&amp;VLOOKUP(L27,$C$102:$D$106,2,FALSE())&amp;" ("&amp;L27&amp;")")</f>
        <v/>
      </c>
      <c r="O27" s="1" t="n">
        <f aca="false">C104</f>
        <v>1</v>
      </c>
    </row>
    <row r="28" customFormat="false" ht="33" hidden="false" customHeight="true" outlineLevel="0" collapsed="false">
      <c r="A28" s="2"/>
      <c r="B28" s="96" t="s">
        <v>57</v>
      </c>
      <c r="C28" s="97" t="str">
        <f aca="false">'12.lan'!D127</f>
        <v>Social position in relation to financial resources</v>
      </c>
      <c r="D28" s="98" t="n">
        <f aca="false">IF(K28="trifft nicht zu",C106,'9. Weighting'!N24)</f>
        <v>1.5</v>
      </c>
      <c r="E28" s="117" t="str">
        <f aca="false">VLOOKUP(D28,$C$102:$D$106,2,FALSE())</f>
        <v>high</v>
      </c>
      <c r="F28" s="111" t="n">
        <f aca="false">IF(K28="trifft nicht zu","trifft nicht zu",'9. Weighting'!N24)</f>
        <v>1.5</v>
      </c>
      <c r="G28" s="112"/>
      <c r="H28" s="101" t="n">
        <f aca="false">IF(J28&lt;&gt;0,SUM(I29:I30)/J28,"-")</f>
        <v>0</v>
      </c>
      <c r="I28" s="102" t="n">
        <f aca="false">IF(J28=0,0,H28*J28)</f>
        <v>0</v>
      </c>
      <c r="J28" s="102" t="n">
        <f aca="false">'9. Weighting'!N23</f>
        <v>142.857142857143</v>
      </c>
      <c r="L28" s="1" t="n">
        <f aca="false">VLOOKUP(O28,$C$102:$E$106,3,FALSE())</f>
        <v>1.5</v>
      </c>
      <c r="M28" s="1" t="n">
        <f aca="false">VLOOKUP(D28,$C$102:$E$106,3,FALSE())</f>
        <v>1.5</v>
      </c>
      <c r="N28" s="46" t="str">
        <f aca="false">IF(L28=M28,"",'12.lan'!$D$240&amp;VLOOKUP(L28,$C$102:$D$106,2,FALSE())&amp;" ("&amp;L28&amp;")")</f>
        <v/>
      </c>
      <c r="O28" s="1" t="n">
        <f aca="false">IF(K28="trifft nicht zu",C106,'9. Weighting'!N24)</f>
        <v>1.5</v>
      </c>
    </row>
    <row r="29" customFormat="false" ht="30" hidden="false" customHeight="true" outlineLevel="0" collapsed="false">
      <c r="A29" s="2"/>
      <c r="B29" s="118" t="s">
        <v>58</v>
      </c>
      <c r="C29" s="103" t="str">
        <f aca="false">'12.lan'!D128</f>
        <v>Solidarity and Common Good-orientated use of funds</v>
      </c>
      <c r="D29" s="119"/>
      <c r="E29" s="120"/>
      <c r="F29" s="106" t="str">
        <f aca="false">'12.lan'!$D$329</f>
        <v>Introduce value between 0 and 10</v>
      </c>
      <c r="G29" s="107"/>
      <c r="H29" s="108"/>
      <c r="I29" s="109" t="n">
        <f aca="false">J29*H29/10</f>
        <v>0</v>
      </c>
      <c r="J29" s="110" t="n">
        <f aca="false">$J$28*K29/(K29)</f>
        <v>142.857142857143</v>
      </c>
      <c r="K29" s="1" t="n">
        <v>1</v>
      </c>
      <c r="L29" s="1" t="e">
        <f aca="false">VLOOKUP(O29,$C$102:$E$106,3,FALSE())</f>
        <v>#N/A</v>
      </c>
      <c r="M29" s="1" t="e">
        <f aca="false">VLOOKUP(D29,$C$102:$E$106,3,FALSE())</f>
        <v>#N/A</v>
      </c>
      <c r="N29" s="46"/>
    </row>
    <row r="30" customFormat="false" ht="30" hidden="false" customHeight="true" outlineLevel="0" collapsed="false">
      <c r="A30" s="2"/>
      <c r="B30" s="33" t="s">
        <v>59</v>
      </c>
      <c r="C30" s="42" t="str">
        <f aca="false">'12.lan'!D129</f>
        <v>Negative aspect: unfair distribution of funds</v>
      </c>
      <c r="D30" s="121"/>
      <c r="E30" s="113"/>
      <c r="F30" s="106" t="str">
        <f aca="false">'12.lan'!$D$330</f>
        <v>Introduce negative points between 0 and -200</v>
      </c>
      <c r="G30" s="107"/>
      <c r="H30" s="108"/>
      <c r="I30" s="109" t="n">
        <f aca="false">H30*J28/50</f>
        <v>0</v>
      </c>
      <c r="J30" s="110" t="n">
        <f aca="false">-200*J28/50</f>
        <v>-571.428571428571</v>
      </c>
    </row>
    <row r="31" customFormat="false" ht="33" hidden="false" customHeight="true" outlineLevel="0" collapsed="false">
      <c r="A31" s="2"/>
      <c r="B31" s="96" t="s">
        <v>60</v>
      </c>
      <c r="C31" s="97" t="str">
        <f aca="false">'12.lan'!D130</f>
        <v>Use of funds in relation to social and environmental impacts</v>
      </c>
      <c r="D31" s="98" t="n">
        <f aca="false">IF(K31="trifft nicht zu",C106,'9. Weighting'!O24)</f>
        <v>1.5</v>
      </c>
      <c r="E31" s="117" t="str">
        <f aca="false">VLOOKUP(D31,$C$102:$D$106,2,FALSE())</f>
        <v>high</v>
      </c>
      <c r="F31" s="111" t="n">
        <f aca="false">IF(K31="trifft nicht zu","trifft nicht zu",'9. Weighting'!O24)</f>
        <v>1.5</v>
      </c>
      <c r="G31" s="112"/>
      <c r="H31" s="101" t="n">
        <f aca="false">IF(J31&lt;&gt;0,SUM(I32:I34)/J31,"-")</f>
        <v>0</v>
      </c>
      <c r="I31" s="102" t="n">
        <f aca="false">IF(J31=0,0,H31*J31)</f>
        <v>0</v>
      </c>
      <c r="J31" s="102" t="n">
        <f aca="false">'9. Weighting'!O23</f>
        <v>142.857142857143</v>
      </c>
      <c r="K31" s="1" t="str">
        <f aca="false">IF(AND(D32="trifft nicht zu",D33="trifft nicht zu"),"trifft nicht zu","")</f>
        <v/>
      </c>
      <c r="L31" s="1" t="n">
        <f aca="false">VLOOKUP(O31,$C$102:$E$106,3,FALSE())</f>
        <v>1.5</v>
      </c>
      <c r="M31" s="1" t="n">
        <f aca="false">VLOOKUP(D31,$C$102:$E$106,3,FALSE())</f>
        <v>1.5</v>
      </c>
      <c r="N31" s="46" t="str">
        <f aca="false">IF(L31=M31,"",'12.lan'!$D$240&amp;VLOOKUP(L31,$C$102:$D$106,2,FALSE())&amp;" ("&amp;L31&amp;")")</f>
        <v/>
      </c>
      <c r="O31" s="1" t="n">
        <f aca="false">IF(K31="trifft nicht zu",C106,'9. Weighting'!O24)</f>
        <v>1.5</v>
      </c>
    </row>
    <row r="32" customFormat="false" ht="30" hidden="false" customHeight="true" outlineLevel="0" collapsed="false">
      <c r="A32" s="2"/>
      <c r="B32" s="118" t="s">
        <v>61</v>
      </c>
      <c r="C32" s="103" t="str">
        <f aca="false">'12.lan'!D131</f>
        <v>Environmental quality of investments</v>
      </c>
      <c r="D32" s="104" t="n">
        <f aca="false">C104</f>
        <v>1</v>
      </c>
      <c r="E32" s="113" t="str">
        <f aca="false">VLOOKUP(D32,$C$102:$D$106,2,FALSE())</f>
        <v>medium</v>
      </c>
      <c r="F32" s="106" t="str">
        <f aca="false">'12.lan'!$D$329</f>
        <v>Introduce value between 0 and 10</v>
      </c>
      <c r="G32" s="107"/>
      <c r="H32" s="108" t="n">
        <v>0</v>
      </c>
      <c r="I32" s="109" t="n">
        <f aca="false">IFERROR(J32*H32/10,0)</f>
        <v>0</v>
      </c>
      <c r="J32" s="110" t="n">
        <f aca="false">IFERROR($J$31*K32/($K$32+$K$33),0)</f>
        <v>71.4285714285714</v>
      </c>
      <c r="K32" s="1" t="n">
        <f aca="false">VLOOKUP(D32,$C$102:$E$106,3,FALSE())</f>
        <v>1</v>
      </c>
      <c r="L32" s="1" t="n">
        <f aca="false">VLOOKUP(O32,$C$102:$E$106,3,FALSE())</f>
        <v>1</v>
      </c>
      <c r="M32" s="1" t="n">
        <f aca="false">VLOOKUP(D32,$C$102:$E$106,3,FALSE())</f>
        <v>1</v>
      </c>
      <c r="N32" s="46" t="str">
        <f aca="false">IF(L32=M32,"",'12.lan'!$D$240&amp;VLOOKUP(L32,$C$102:$D$106,2,FALSE())&amp;" ("&amp;L32&amp;")")</f>
        <v/>
      </c>
      <c r="O32" s="1" t="n">
        <f aca="false">C104</f>
        <v>1</v>
      </c>
    </row>
    <row r="33" customFormat="false" ht="30" hidden="false" customHeight="true" outlineLevel="0" collapsed="false">
      <c r="A33" s="2"/>
      <c r="B33" s="33" t="s">
        <v>62</v>
      </c>
      <c r="C33" s="42" t="str">
        <f aca="false">'12.lan'!D132</f>
        <v>Common Good-orientated investment</v>
      </c>
      <c r="D33" s="104" t="n">
        <f aca="false">C104</f>
        <v>1</v>
      </c>
      <c r="E33" s="113" t="str">
        <f aca="false">VLOOKUP(D33,$C$102:$D$106,2,FALSE())</f>
        <v>medium</v>
      </c>
      <c r="F33" s="106" t="str">
        <f aca="false">'12.lan'!$D$329</f>
        <v>Introduce value between 0 and 10</v>
      </c>
      <c r="G33" s="107"/>
      <c r="H33" s="108" t="n">
        <v>0</v>
      </c>
      <c r="I33" s="109" t="n">
        <f aca="false">IFERROR(J33*H33/10,0)</f>
        <v>0</v>
      </c>
      <c r="J33" s="110" t="n">
        <f aca="false">IFERROR($J$31*K33/($K$32+$K$33),0)</f>
        <v>71.4285714285714</v>
      </c>
      <c r="K33" s="1" t="n">
        <f aca="false">VLOOKUP(D33,$C$102:$E$106,3,FALSE())</f>
        <v>1</v>
      </c>
      <c r="L33" s="1" t="n">
        <f aca="false">VLOOKUP(O33,$C$102:$E$106,3,FALSE())</f>
        <v>1</v>
      </c>
      <c r="M33" s="1" t="n">
        <f aca="false">VLOOKUP(D33,$C$102:$E$106,3,FALSE())</f>
        <v>1</v>
      </c>
      <c r="N33" s="46" t="str">
        <f aca="false">IF(L33=M33,"",'12.lan'!$D$240&amp;VLOOKUP(L33,$C$102:$D$106,2,FALSE())&amp;" ("&amp;L33&amp;")")</f>
        <v/>
      </c>
      <c r="O33" s="1" t="n">
        <f aca="false">C104</f>
        <v>1</v>
      </c>
    </row>
    <row r="34" customFormat="false" ht="30" hidden="false" customHeight="true" outlineLevel="0" collapsed="false">
      <c r="A34" s="2"/>
      <c r="B34" s="33" t="s">
        <v>63</v>
      </c>
      <c r="C34" s="42" t="str">
        <f aca="false">'12.lan'!D133</f>
        <v>Negative aspect: reliance on environmentally unsafe resources</v>
      </c>
      <c r="D34" s="104"/>
      <c r="E34" s="113"/>
      <c r="F34" s="106" t="str">
        <f aca="false">'12.lan'!$D$330</f>
        <v>Introduce negative points between 0 and -200</v>
      </c>
      <c r="G34" s="107"/>
      <c r="H34" s="108" t="n">
        <v>0</v>
      </c>
      <c r="I34" s="109" t="n">
        <f aca="false">H34*J31/50</f>
        <v>0</v>
      </c>
      <c r="J34" s="110" t="n">
        <f aca="false">-200*J31/50</f>
        <v>-571.428571428571</v>
      </c>
    </row>
    <row r="35" customFormat="false" ht="33" hidden="false" customHeight="true" outlineLevel="0" collapsed="false">
      <c r="A35" s="2"/>
      <c r="B35" s="96" t="s">
        <v>64</v>
      </c>
      <c r="C35" s="97" t="str">
        <f aca="false">'12.lan'!D134</f>
        <v>Ownership and co-determination</v>
      </c>
      <c r="D35" s="98" t="n">
        <f aca="false">IF(K35="trifft nicht zu",C106,'9. Weighting'!P24)</f>
        <v>0.5</v>
      </c>
      <c r="E35" s="117" t="str">
        <f aca="false">VLOOKUP(D35,$C$102:$D$106,2,FALSE())</f>
        <v>low</v>
      </c>
      <c r="F35" s="111" t="n">
        <f aca="false">IF(K35="trifft nicht zu","trifft nicht zu",'9. Weighting'!P24)</f>
        <v>0.5</v>
      </c>
      <c r="G35" s="112"/>
      <c r="H35" s="101" t="n">
        <f aca="false">IF(J35&lt;&gt;0,SUM(I36:I37)/J35,"-")</f>
        <v>0</v>
      </c>
      <c r="I35" s="102" t="n">
        <f aca="false">IF(J35=0,0,H35*J35)</f>
        <v>0</v>
      </c>
      <c r="J35" s="102" t="n">
        <f aca="false">'9. Weighting'!P23</f>
        <v>47.6190476190476</v>
      </c>
      <c r="L35" s="1" t="n">
        <f aca="false">VLOOKUP(O35,$C$102:$E$106,3,FALSE())</f>
        <v>0.5</v>
      </c>
      <c r="M35" s="1" t="n">
        <f aca="false">VLOOKUP(D35,$C$102:$E$106,3,FALSE())</f>
        <v>0.5</v>
      </c>
      <c r="N35" s="46" t="str">
        <f aca="false">IF(L35=M35,"",'12.lan'!$D$240&amp;VLOOKUP(L35,$C$102:$D$106,2,FALSE())&amp;" ("&amp;L35&amp;")")</f>
        <v/>
      </c>
      <c r="O35" s="1" t="n">
        <f aca="false">IF(K35="trifft nicht zu",C106,'9. Weighting'!P24)</f>
        <v>0.5</v>
      </c>
    </row>
    <row r="36" customFormat="false" ht="30" hidden="false" customHeight="true" outlineLevel="0" collapsed="false">
      <c r="A36" s="2"/>
      <c r="B36" s="118" t="s">
        <v>65</v>
      </c>
      <c r="C36" s="103" t="str">
        <f aca="false">'12.lan'!D135</f>
        <v>Common Good-orientated ownership structure</v>
      </c>
      <c r="D36" s="104"/>
      <c r="E36" s="113"/>
      <c r="F36" s="106" t="str">
        <f aca="false">'12.lan'!$D$329</f>
        <v>Introduce value between 0 and 10</v>
      </c>
      <c r="G36" s="107"/>
      <c r="H36" s="108"/>
      <c r="I36" s="109" t="n">
        <f aca="false">J36*H36/10</f>
        <v>0</v>
      </c>
      <c r="J36" s="110" t="n">
        <f aca="false">$J$35*K36/(K36)</f>
        <v>47.6190476190476</v>
      </c>
      <c r="K36" s="1" t="n">
        <v>1</v>
      </c>
    </row>
    <row r="37" customFormat="false" ht="30" hidden="false" customHeight="true" outlineLevel="0" collapsed="false">
      <c r="A37" s="2"/>
      <c r="B37" s="33" t="s">
        <v>66</v>
      </c>
      <c r="C37" s="42" t="str">
        <f aca="false">'12.lan'!D136</f>
        <v>Negative aspect: hostile takeover</v>
      </c>
      <c r="D37" s="104"/>
      <c r="E37" s="113"/>
      <c r="F37" s="106" t="str">
        <f aca="false">'12.lan'!$D$330</f>
        <v>Introduce negative points between 0 and -200</v>
      </c>
      <c r="G37" s="107"/>
      <c r="H37" s="108"/>
      <c r="I37" s="109" t="n">
        <f aca="false">H37*J35/50</f>
        <v>0</v>
      </c>
      <c r="J37" s="110" t="n">
        <f aca="false">-200*J35/50</f>
        <v>-190.47619047619</v>
      </c>
    </row>
    <row r="38" customFormat="false" ht="36" hidden="false" customHeight="true" outlineLevel="0" collapsed="false">
      <c r="A38" s="2"/>
      <c r="B38" s="89" t="s">
        <v>67</v>
      </c>
      <c r="C38" s="89" t="str">
        <f aca="false">'12.lan'!D137</f>
        <v>Employees</v>
      </c>
      <c r="D38" s="114" t="n">
        <f aca="false">L38</f>
        <v>0.5</v>
      </c>
      <c r="E38" s="115" t="str">
        <f aca="false">VLOOKUP(D38,$C$102:$D$106,2,FALSE())</f>
        <v>low</v>
      </c>
      <c r="F38" s="116"/>
      <c r="G38" s="116"/>
      <c r="H38" s="93" t="n">
        <f aca="false">IFERROR(I38/J38,0)</f>
        <v>-0.109166666666667</v>
      </c>
      <c r="I38" s="94" t="n">
        <f aca="false">I39+I44+I49+I54</f>
        <v>-10.3968253968254</v>
      </c>
      <c r="J38" s="94" t="n">
        <f aca="false">J39+J44+J49+J54</f>
        <v>95.2380952380952</v>
      </c>
      <c r="L38" s="1" t="n">
        <f aca="false">'9. Weighting'!K51</f>
        <v>0.5</v>
      </c>
      <c r="N38" s="95" t="str">
        <f aca="false">IF(D38&lt;&gt;L38,'12.lan'!$D$240&amp;VLOOKUP(L38,$C$102:$D$106,2,FALSE())&amp;" ("&amp;L38&amp;")","")</f>
        <v/>
      </c>
    </row>
    <row r="39" customFormat="false" ht="32.25" hidden="false" customHeight="true" outlineLevel="0" collapsed="false">
      <c r="A39" s="2"/>
      <c r="B39" s="96" t="s">
        <v>68</v>
      </c>
      <c r="C39" s="97" t="str">
        <f aca="false">'12.lan'!D138</f>
        <v>Human dignity in the workplace and working environment</v>
      </c>
      <c r="D39" s="98" t="n">
        <f aca="false">IF(K39="trifft nicht zu",C101,'9. Weighting'!M30)</f>
        <v>1</v>
      </c>
      <c r="E39" s="117" t="str">
        <f aca="false">VLOOKUP(D39,$C$102:$D$106,2,FALSE())</f>
        <v>medium</v>
      </c>
      <c r="F39" s="111" t="n">
        <f aca="false">IF(K39="trifft nicht zu","trifft nicht zu",'9. Weighting'!M30)</f>
        <v>1</v>
      </c>
      <c r="G39" s="112"/>
      <c r="H39" s="101" t="n">
        <f aca="false">IF(J39&lt;&gt;0,SUM(I40:I43)/J39,"-")</f>
        <v>0.0333333333333333</v>
      </c>
      <c r="I39" s="102" t="n">
        <f aca="false">IF(J39=0,0,H39*J39)</f>
        <v>0.793650793650794</v>
      </c>
      <c r="J39" s="102" t="n">
        <f aca="false">'9. Weighting'!M29</f>
        <v>23.8095238095238</v>
      </c>
      <c r="K39" s="1" t="str">
        <f aca="false">IF(AND(D40="trifft nicht zu",D41="trifft nicht zu",,D42="trifft nicht zu"),"trifft nicht zu","")</f>
        <v/>
      </c>
      <c r="L39" s="1" t="n">
        <f aca="false">VLOOKUP(O39,$C$102:$E$106,3,FALSE())</f>
        <v>1</v>
      </c>
      <c r="M39" s="1" t="n">
        <f aca="false">VLOOKUP(D39,$C$102:$E$106,3,FALSE())</f>
        <v>1</v>
      </c>
      <c r="N39" s="46" t="str">
        <f aca="false">IF(L39=M39,"",'12.lan'!$D$240&amp;VLOOKUP(L39,$C$102:$D$106,2,FALSE())&amp;" ("&amp;L39&amp;")")</f>
        <v/>
      </c>
      <c r="O39" s="1" t="n">
        <f aca="false">IF(K39="trifft nicht zu",C106,'9. Weighting'!M30)</f>
        <v>1</v>
      </c>
    </row>
    <row r="40" customFormat="false" ht="30" hidden="false" customHeight="true" outlineLevel="0" collapsed="false">
      <c r="A40" s="2"/>
      <c r="B40" s="103" t="s">
        <v>69</v>
      </c>
      <c r="C40" s="103" t="str">
        <f aca="false">'12.lan'!D139</f>
        <v>Employee-focused organisational culture</v>
      </c>
      <c r="D40" s="104" t="n">
        <f aca="false">C104</f>
        <v>1</v>
      </c>
      <c r="E40" s="113" t="str">
        <f aca="false">VLOOKUP(D40,$C$102:$D$106,2,FALSE())</f>
        <v>medium</v>
      </c>
      <c r="F40" s="106" t="str">
        <f aca="false">'12.lan'!$D$329</f>
        <v>Introduce value between 0 and 10</v>
      </c>
      <c r="G40" s="107"/>
      <c r="H40" s="108" t="n">
        <v>1</v>
      </c>
      <c r="I40" s="109" t="n">
        <f aca="false">IFERROR(J40*H40/10,0)</f>
        <v>0.793650793650794</v>
      </c>
      <c r="J40" s="110" t="n">
        <f aca="false">IFERROR($J$39*K40/(SUM($K$40:$K$42)),0)</f>
        <v>7.93650793650794</v>
      </c>
      <c r="K40" s="1" t="n">
        <f aca="false">VLOOKUP(D40,$C$102:$E$106,3,FALSE())</f>
        <v>1</v>
      </c>
      <c r="L40" s="1" t="n">
        <f aca="false">VLOOKUP(O40,$C$102:$E$106,3,FALSE())</f>
        <v>1</v>
      </c>
      <c r="M40" s="1" t="n">
        <f aca="false">VLOOKUP(D40,$C$102:$E$106,3,FALSE())</f>
        <v>1</v>
      </c>
      <c r="N40" s="46" t="str">
        <f aca="false">IF(L40=M40,"",'12.lan'!$D$240&amp;VLOOKUP(L40,$C$102:$D$106,2,FALSE())&amp;" ("&amp;L40&amp;")")</f>
        <v/>
      </c>
      <c r="O40" s="1" t="n">
        <f aca="false">C104</f>
        <v>1</v>
      </c>
    </row>
    <row r="41" customFormat="false" ht="30" hidden="false" customHeight="true" outlineLevel="0" collapsed="false">
      <c r="A41" s="2"/>
      <c r="B41" s="42" t="s">
        <v>70</v>
      </c>
      <c r="C41" s="42" t="str">
        <f aca="false">'12.lan'!D140</f>
        <v>Health promotion and occupational health and safety</v>
      </c>
      <c r="D41" s="104" t="n">
        <f aca="false">C104</f>
        <v>1</v>
      </c>
      <c r="E41" s="113" t="str">
        <f aca="false">VLOOKUP(D41,$C$102:$D$106,2,FALSE())</f>
        <v>medium</v>
      </c>
      <c r="F41" s="106" t="str">
        <f aca="false">'12.lan'!$D$329</f>
        <v>Introduce value between 0 and 10</v>
      </c>
      <c r="G41" s="107"/>
      <c r="H41" s="108"/>
      <c r="I41" s="109" t="n">
        <f aca="false">IFERROR(J41*H41/10,0)</f>
        <v>0</v>
      </c>
      <c r="J41" s="110" t="n">
        <f aca="false">IFERROR($J$39*K41/(SUM($K$40:$K$42)),0)</f>
        <v>7.93650793650794</v>
      </c>
      <c r="K41" s="1" t="n">
        <f aca="false">VLOOKUP(D41,$C$102:$E$106,3,FALSE())</f>
        <v>1</v>
      </c>
      <c r="L41" s="1" t="n">
        <f aca="false">VLOOKUP(O41,$C$102:$E$106,3,FALSE())</f>
        <v>1</v>
      </c>
      <c r="M41" s="1" t="n">
        <f aca="false">VLOOKUP(D41,$C$102:$E$106,3,FALSE())</f>
        <v>1</v>
      </c>
      <c r="N41" s="46" t="str">
        <f aca="false">IF(L41=M41,"",'12.lan'!$D$240&amp;VLOOKUP(L41,$C$102:$D$106,2,FALSE())&amp;" ("&amp;L41&amp;")")</f>
        <v/>
      </c>
      <c r="O41" s="1" t="n">
        <f aca="false">C104</f>
        <v>1</v>
      </c>
    </row>
    <row r="42" customFormat="false" ht="30" hidden="false" customHeight="true" outlineLevel="0" collapsed="false">
      <c r="A42" s="2"/>
      <c r="B42" s="42" t="s">
        <v>71</v>
      </c>
      <c r="C42" s="42" t="str">
        <f aca="false">'12.lan'!D141</f>
        <v>Diversity and equal opportunities</v>
      </c>
      <c r="D42" s="104" t="n">
        <f aca="false">C104</f>
        <v>1</v>
      </c>
      <c r="E42" s="113" t="str">
        <f aca="false">VLOOKUP(D42,$C$102:$D$106,2,FALSE())</f>
        <v>medium</v>
      </c>
      <c r="F42" s="106" t="str">
        <f aca="false">'12.lan'!$D$329</f>
        <v>Introduce value between 0 and 10</v>
      </c>
      <c r="G42" s="107"/>
      <c r="H42" s="108"/>
      <c r="I42" s="109" t="n">
        <f aca="false">IFERROR(J42*H42/10,0)</f>
        <v>0</v>
      </c>
      <c r="J42" s="110" t="n">
        <f aca="false">IFERROR($J$39*K42/(SUM($K$40:$K$42)),0)</f>
        <v>7.93650793650794</v>
      </c>
      <c r="K42" s="1" t="n">
        <f aca="false">VLOOKUP(D42,$C$102:$E$106,3,FALSE())</f>
        <v>1</v>
      </c>
      <c r="L42" s="1" t="n">
        <f aca="false">VLOOKUP(O42,$C$102:$E$106,3,FALSE())</f>
        <v>1</v>
      </c>
      <c r="M42" s="1" t="n">
        <f aca="false">VLOOKUP(D42,$C$102:$E$106,3,FALSE())</f>
        <v>1</v>
      </c>
      <c r="N42" s="46" t="str">
        <f aca="false">IF(L42=M42,"",'12.lan'!$D$240&amp;VLOOKUP(L42,$C$102:$D$106,2,FALSE())&amp;" ("&amp;L42&amp;")")</f>
        <v/>
      </c>
      <c r="O42" s="1" t="n">
        <f aca="false">C104</f>
        <v>1</v>
      </c>
    </row>
    <row r="43" customFormat="false" ht="30" hidden="false" customHeight="true" outlineLevel="0" collapsed="false">
      <c r="A43" s="2"/>
      <c r="B43" s="122" t="s">
        <v>72</v>
      </c>
      <c r="C43" s="122" t="str">
        <f aca="false">'12.lan'!D142</f>
        <v>Negative aspect: unfit working conditions</v>
      </c>
      <c r="D43" s="104"/>
      <c r="E43" s="113"/>
      <c r="F43" s="106" t="str">
        <f aca="false">'12.lan'!$D$330</f>
        <v>Introduce negative points between 0 and -200</v>
      </c>
      <c r="G43" s="107"/>
      <c r="H43" s="108" t="n">
        <v>0</v>
      </c>
      <c r="I43" s="109" t="n">
        <f aca="false">H43*J39/50</f>
        <v>0</v>
      </c>
      <c r="J43" s="110" t="n">
        <f aca="false">-200*J39/50</f>
        <v>-95.2380952380952</v>
      </c>
    </row>
    <row r="44" customFormat="false" ht="33" hidden="false" customHeight="true" outlineLevel="0" collapsed="false">
      <c r="A44" s="2"/>
      <c r="B44" s="96" t="s">
        <v>73</v>
      </c>
      <c r="C44" s="97" t="str">
        <f aca="false">'12.lan'!D143</f>
        <v>Self-determined working arrangements</v>
      </c>
      <c r="D44" s="98" t="n">
        <f aca="false">IF(K44="trifft nicht zu",C106,'9. Weighting'!N30)</f>
        <v>1</v>
      </c>
      <c r="E44" s="117" t="str">
        <f aca="false">VLOOKUP(D44,$C$102:$D$106,2,FALSE())</f>
        <v>medium</v>
      </c>
      <c r="F44" s="111" t="n">
        <f aca="false">IF(K44="trifft nicht zu","trifft nicht zu",'9. Weighting'!N30)</f>
        <v>1</v>
      </c>
      <c r="G44" s="112"/>
      <c r="H44" s="101" t="n">
        <f aca="false">IF(J44&lt;&gt;0,SUM(I45:I48)/J44,"-")</f>
        <v>-0.02</v>
      </c>
      <c r="I44" s="102" t="n">
        <f aca="false">IF(J44=0,0,H44*J44)</f>
        <v>-0.476190476190476</v>
      </c>
      <c r="J44" s="102" t="n">
        <f aca="false">'9. Weighting'!N29</f>
        <v>23.8095238095238</v>
      </c>
      <c r="K44" s="1" t="str">
        <f aca="false">IF(AND(D45="trifft nicht zu",D46="trifft nicht zu",,D47="trifft nicht zu"),"trifft nicht zu","")</f>
        <v/>
      </c>
      <c r="L44" s="1" t="n">
        <f aca="false">VLOOKUP(O44,$C$102:$E$106,3,FALSE())</f>
        <v>1</v>
      </c>
      <c r="M44" s="1" t="n">
        <f aca="false">VLOOKUP(D44,$C$102:$E$106,3,FALSE())</f>
        <v>1</v>
      </c>
      <c r="N44" s="46" t="str">
        <f aca="false">IF(L44=M44,"",'12.lan'!$D$240&amp;VLOOKUP(L44,$C$102:$D$106,2,FALSE())&amp;" ("&amp;L44&amp;")")</f>
        <v/>
      </c>
      <c r="O44" s="1" t="n">
        <f aca="false">IF(K44="trifft nicht zu",C106,'9. Weighting'!N30)</f>
        <v>1</v>
      </c>
    </row>
    <row r="45" customFormat="false" ht="30" hidden="false" customHeight="true" outlineLevel="0" collapsed="false">
      <c r="A45" s="2"/>
      <c r="B45" s="118" t="s">
        <v>74</v>
      </c>
      <c r="C45" s="103" t="str">
        <f aca="false">'12.lan'!D144</f>
        <v>Pay structure</v>
      </c>
      <c r="D45" s="104" t="n">
        <f aca="false">C104</f>
        <v>1</v>
      </c>
      <c r="E45" s="113" t="str">
        <f aca="false">VLOOKUP(D45,$C$102:$D$106,2,FALSE())</f>
        <v>medium</v>
      </c>
      <c r="F45" s="106" t="str">
        <f aca="false">'12.lan'!$D$329</f>
        <v>Introduce value between 0 and 10</v>
      </c>
      <c r="G45" s="107"/>
      <c r="H45" s="108"/>
      <c r="I45" s="109" t="n">
        <f aca="false">IFERROR(J45*H45/10,0)</f>
        <v>0</v>
      </c>
      <c r="J45" s="110" t="n">
        <f aca="false">IFERROR($J$44*K45/(SUM($K$45:$K$47)),0)</f>
        <v>7.93650793650794</v>
      </c>
      <c r="K45" s="1" t="n">
        <f aca="false">VLOOKUP(D45,$C$102:$E$106,3,FALSE())</f>
        <v>1</v>
      </c>
      <c r="L45" s="1" t="n">
        <f aca="false">VLOOKUP(O45,$C$102:$E$106,3,FALSE())</f>
        <v>1</v>
      </c>
      <c r="M45" s="1" t="n">
        <f aca="false">VLOOKUP(D45,$C$102:$E$106,3,FALSE())</f>
        <v>1</v>
      </c>
      <c r="N45" s="46" t="str">
        <f aca="false">IF(L45=M45,"",'12.lan'!$D$240&amp;VLOOKUP(L45,$C$102:$D$106,2,FALSE())&amp;" ("&amp;L45&amp;")")</f>
        <v/>
      </c>
      <c r="O45" s="1" t="n">
        <f aca="false">C104</f>
        <v>1</v>
      </c>
    </row>
    <row r="46" customFormat="false" ht="30" hidden="false" customHeight="true" outlineLevel="0" collapsed="false">
      <c r="A46" s="2"/>
      <c r="B46" s="33" t="s">
        <v>75</v>
      </c>
      <c r="C46" s="42" t="str">
        <f aca="false">'12.lan'!D145</f>
        <v>Structuring working time</v>
      </c>
      <c r="D46" s="104" t="n">
        <f aca="false">C104</f>
        <v>1</v>
      </c>
      <c r="E46" s="113" t="str">
        <f aca="false">VLOOKUP(D46,$C$102:$D$106,2,FALSE())</f>
        <v>medium</v>
      </c>
      <c r="F46" s="106" t="str">
        <f aca="false">'12.lan'!$D$329</f>
        <v>Introduce value between 0 and 10</v>
      </c>
      <c r="G46" s="107"/>
      <c r="H46" s="108"/>
      <c r="I46" s="109" t="n">
        <f aca="false">IFERROR(J46*H46/10,0)</f>
        <v>0</v>
      </c>
      <c r="J46" s="110" t="n">
        <f aca="false">IFERROR($J$44*K46/(SUM($K$45:$K$47)),0)</f>
        <v>7.93650793650794</v>
      </c>
      <c r="K46" s="1" t="n">
        <f aca="false">VLOOKUP(D46,$C$102:$E$106,3,FALSE())</f>
        <v>1</v>
      </c>
      <c r="L46" s="1" t="n">
        <f aca="false">VLOOKUP(O46,$C$102:$E$106,3,FALSE())</f>
        <v>1</v>
      </c>
      <c r="M46" s="1" t="n">
        <f aca="false">VLOOKUP(D46,$C$102:$E$106,3,FALSE())</f>
        <v>1</v>
      </c>
      <c r="N46" s="46" t="str">
        <f aca="false">IF(L46=M46,"",'12.lan'!$D$240&amp;VLOOKUP(L46,$C$102:$D$106,2,FALSE())&amp;" ("&amp;L46&amp;")")</f>
        <v/>
      </c>
      <c r="O46" s="1" t="n">
        <f aca="false">C104</f>
        <v>1</v>
      </c>
    </row>
    <row r="47" customFormat="false" ht="33" hidden="false" customHeight="true" outlineLevel="0" collapsed="false">
      <c r="A47" s="2"/>
      <c r="B47" s="123" t="s">
        <v>76</v>
      </c>
      <c r="C47" s="122" t="str">
        <f aca="false">'12.lan'!D146</f>
        <v>Employment structure and work-life balance</v>
      </c>
      <c r="D47" s="104" t="n">
        <f aca="false">C104</f>
        <v>1</v>
      </c>
      <c r="E47" s="113" t="str">
        <f aca="false">VLOOKUP(D47,$C$102:$D$106,2,FALSE())</f>
        <v>medium</v>
      </c>
      <c r="F47" s="106" t="str">
        <f aca="false">'12.lan'!$D$329</f>
        <v>Introduce value between 0 and 10</v>
      </c>
      <c r="G47" s="107"/>
      <c r="H47" s="108"/>
      <c r="I47" s="109" t="n">
        <f aca="false">IFERROR(J47*H47/10,0)</f>
        <v>0</v>
      </c>
      <c r="J47" s="110" t="n">
        <f aca="false">IFERROR($J$44*K47/(SUM($K$45:$K$47)),0)</f>
        <v>7.93650793650794</v>
      </c>
      <c r="K47" s="1" t="n">
        <f aca="false">VLOOKUP(D47,$C$102:$E$106,3,FALSE())</f>
        <v>1</v>
      </c>
      <c r="L47" s="1" t="n">
        <f aca="false">VLOOKUP(O47,$C$102:$E$106,3,FALSE())</f>
        <v>1</v>
      </c>
      <c r="M47" s="1" t="n">
        <f aca="false">VLOOKUP(D47,$C$102:$E$106,3,FALSE())</f>
        <v>1</v>
      </c>
      <c r="N47" s="46" t="str">
        <f aca="false">IF(L47=M47,"",'12.lan'!$D$240&amp;VLOOKUP(L47,$C$102:$D$106,2,FALSE())&amp;" ("&amp;L47&amp;")")</f>
        <v/>
      </c>
      <c r="O47" s="1" t="n">
        <f aca="false">C104</f>
        <v>1</v>
      </c>
    </row>
    <row r="48" customFormat="false" ht="33" hidden="false" customHeight="true" outlineLevel="0" collapsed="false">
      <c r="A48" s="2"/>
      <c r="B48" s="123" t="s">
        <v>77</v>
      </c>
      <c r="C48" s="122" t="str">
        <f aca="false">'12.lan'!D147</f>
        <v>Negative aspect: unfair employment contracts</v>
      </c>
      <c r="D48" s="104"/>
      <c r="E48" s="113"/>
      <c r="F48" s="106" t="str">
        <f aca="false">'12.lan'!$D$330</f>
        <v>Introduce negative points between 0 and -200</v>
      </c>
      <c r="G48" s="107"/>
      <c r="H48" s="108" t="n">
        <v>-1</v>
      </c>
      <c r="I48" s="109" t="n">
        <f aca="false">H48*J44/50</f>
        <v>-0.476190476190476</v>
      </c>
      <c r="J48" s="110" t="n">
        <f aca="false">-200*J44/50</f>
        <v>-95.2380952380952</v>
      </c>
    </row>
    <row r="49" customFormat="false" ht="33" hidden="false" customHeight="true" outlineLevel="0" collapsed="false">
      <c r="A49" s="2"/>
      <c r="B49" s="96" t="s">
        <v>78</v>
      </c>
      <c r="C49" s="97" t="str">
        <f aca="false">'12.lan'!D148</f>
        <v>Environmentally-friendly behaviour of staff</v>
      </c>
      <c r="D49" s="98" t="n">
        <f aca="false">IF(K49="trifft nicht zu",C101,'9. Weighting'!O30)</f>
        <v>1.5</v>
      </c>
      <c r="E49" s="117" t="str">
        <f aca="false">VLOOKUP(D49,$C$102:$D$106,2,FALSE())</f>
        <v>high</v>
      </c>
      <c r="F49" s="111" t="n">
        <f aca="false">IF(K49="trifft nicht zu","trifft nicht zu",'9. Weighting'!O30)</f>
        <v>1.5</v>
      </c>
      <c r="G49" s="112"/>
      <c r="H49" s="101" t="n">
        <f aca="false">IF(J49&lt;&gt;0,SUM(I50:I53)/J49,"-")</f>
        <v>-0.3</v>
      </c>
      <c r="I49" s="102" t="n">
        <f aca="false">IF(J49=0,0,H49*J49)</f>
        <v>-10.7142857142857</v>
      </c>
      <c r="J49" s="102" t="n">
        <f aca="false">'9. Weighting'!O29</f>
        <v>35.7142857142857</v>
      </c>
      <c r="K49" s="1" t="str">
        <f aca="false">IF(AND(D50="trifft nicht zu",D51="trifft nicht zu",,D52="trifft nicht zu"),"trifft nicht zu","")</f>
        <v/>
      </c>
      <c r="L49" s="1" t="n">
        <f aca="false">VLOOKUP(O49,$C$102:$E$106,3,FALSE())</f>
        <v>1.5</v>
      </c>
      <c r="M49" s="1" t="n">
        <f aca="false">VLOOKUP(D49,$C$102:$E$106,3,FALSE())</f>
        <v>1.5</v>
      </c>
      <c r="N49" s="46" t="str">
        <f aca="false">IF(L49=M49,"",'12.lan'!$D$240&amp;VLOOKUP(L49,$C$102:$D$106,2,FALSE())&amp;" ("&amp;L49&amp;")")</f>
        <v/>
      </c>
      <c r="O49" s="1" t="n">
        <f aca="false">IF(K49="trifft nicht zu",C106,'9. Weighting'!O30)</f>
        <v>1.5</v>
      </c>
    </row>
    <row r="50" customFormat="false" ht="30" hidden="false" customHeight="true" outlineLevel="0" collapsed="false">
      <c r="A50" s="2"/>
      <c r="B50" s="118" t="s">
        <v>79</v>
      </c>
      <c r="C50" s="103" t="str">
        <f aca="false">'12.lan'!D149</f>
        <v>Food during working hours</v>
      </c>
      <c r="D50" s="104" t="n">
        <f aca="false">C104</f>
        <v>1</v>
      </c>
      <c r="E50" s="113" t="str">
        <f aca="false">VLOOKUP(D50,$C$102:$D$106,2,FALSE())</f>
        <v>medium</v>
      </c>
      <c r="F50" s="106" t="str">
        <f aca="false">'12.lan'!$D$329</f>
        <v>Introduce value between 0 and 10</v>
      </c>
      <c r="G50" s="107"/>
      <c r="H50" s="108" t="n">
        <v>0</v>
      </c>
      <c r="I50" s="109" t="n">
        <f aca="false">IFERROR(J50*H50/10,0)</f>
        <v>0</v>
      </c>
      <c r="J50" s="110" t="n">
        <f aca="false">IFERROR($J$49*K50/(SUM($K$50:$K$52)),0)</f>
        <v>11.9047619047619</v>
      </c>
      <c r="K50" s="1" t="n">
        <f aca="false">VLOOKUP(D50,$C$102:$E$106,3,FALSE())</f>
        <v>1</v>
      </c>
      <c r="L50" s="1" t="n">
        <f aca="false">VLOOKUP(O50,$C$102:$E$106,3,FALSE())</f>
        <v>1</v>
      </c>
      <c r="M50" s="1" t="n">
        <f aca="false">VLOOKUP(D50,$C$102:$E$106,3,FALSE())</f>
        <v>1</v>
      </c>
      <c r="N50" s="46" t="str">
        <f aca="false">IF(L50=M50,"",'12.lan'!$D$240&amp;VLOOKUP(L50,$C$102:$D$106,2,FALSE())&amp;" ("&amp;L50&amp;")")</f>
        <v/>
      </c>
      <c r="O50" s="1" t="n">
        <f aca="false">C104</f>
        <v>1</v>
      </c>
    </row>
    <row r="51" customFormat="false" ht="30" hidden="false" customHeight="true" outlineLevel="0" collapsed="false">
      <c r="A51" s="2"/>
      <c r="B51" s="33" t="s">
        <v>80</v>
      </c>
      <c r="C51" s="42" t="str">
        <f aca="false">'12.lan'!D150</f>
        <v>Travel to work</v>
      </c>
      <c r="D51" s="104" t="n">
        <f aca="false">C104</f>
        <v>1</v>
      </c>
      <c r="E51" s="113" t="str">
        <f aca="false">VLOOKUP(D51,$C$102:$D$106,2,FALSE())</f>
        <v>medium</v>
      </c>
      <c r="F51" s="106" t="str">
        <f aca="false">'12.lan'!$D$329</f>
        <v>Introduce value between 0 and 10</v>
      </c>
      <c r="G51" s="107"/>
      <c r="H51" s="108"/>
      <c r="I51" s="109" t="n">
        <f aca="false">IFERROR(J51*H51/10,0)</f>
        <v>0</v>
      </c>
      <c r="J51" s="110" t="n">
        <f aca="false">IFERROR($J$49*K51/(SUM($K$50:$K$52)),0)</f>
        <v>11.9047619047619</v>
      </c>
      <c r="K51" s="1" t="n">
        <f aca="false">VLOOKUP(D51,$C$102:$E$106,3,FALSE())</f>
        <v>1</v>
      </c>
      <c r="L51" s="1" t="n">
        <f aca="false">VLOOKUP(O51,$C$102:$E$106,3,FALSE())</f>
        <v>1</v>
      </c>
      <c r="M51" s="1" t="n">
        <f aca="false">VLOOKUP(D51,$C$102:$E$106,3,FALSE())</f>
        <v>1</v>
      </c>
      <c r="N51" s="46" t="str">
        <f aca="false">IF(L51=M51,"",'12.lan'!$D$240&amp;VLOOKUP(L51,$C$102:$D$106,2,FALSE())&amp;" ("&amp;L51&amp;")")</f>
        <v/>
      </c>
      <c r="O51" s="1" t="n">
        <f aca="false">C104</f>
        <v>1</v>
      </c>
    </row>
    <row r="52" customFormat="false" ht="30" hidden="false" customHeight="true" outlineLevel="0" collapsed="false">
      <c r="A52" s="2"/>
      <c r="B52" s="123" t="s">
        <v>81</v>
      </c>
      <c r="C52" s="122" t="str">
        <f aca="false">'12.lan'!D151</f>
        <v>Organisational culture, cultivating awareness for an environmentally-friendly approach</v>
      </c>
      <c r="D52" s="104" t="n">
        <f aca="false">C104</f>
        <v>1</v>
      </c>
      <c r="E52" s="113" t="str">
        <f aca="false">VLOOKUP(D52,$C$102:$D$106,2,FALSE())</f>
        <v>medium</v>
      </c>
      <c r="F52" s="106" t="str">
        <f aca="false">'12.lan'!$D$329</f>
        <v>Introduce value between 0 and 10</v>
      </c>
      <c r="G52" s="107"/>
      <c r="H52" s="108" t="n">
        <v>3</v>
      </c>
      <c r="I52" s="109" t="n">
        <f aca="false">IFERROR(J52*H52/10,0)</f>
        <v>3.57142857142857</v>
      </c>
      <c r="J52" s="110" t="n">
        <f aca="false">IFERROR($J$49*K52/(SUM($K$50:$K$52)),0)</f>
        <v>11.9047619047619</v>
      </c>
      <c r="K52" s="1" t="n">
        <f aca="false">VLOOKUP(D52,$C$102:$E$106,3,FALSE())</f>
        <v>1</v>
      </c>
      <c r="L52" s="1" t="n">
        <f aca="false">VLOOKUP(O52,$C$102:$E$106,3,FALSE())</f>
        <v>1</v>
      </c>
      <c r="M52" s="1" t="n">
        <f aca="false">VLOOKUP(D52,$C$102:$E$106,3,FALSE())</f>
        <v>1</v>
      </c>
      <c r="N52" s="46" t="str">
        <f aca="false">IF(L52=M52,"",'12.lan'!$D$240&amp;VLOOKUP(L52,$C$102:$D$106,2,FALSE())&amp;" ("&amp;L52&amp;")")</f>
        <v/>
      </c>
      <c r="O52" s="1" t="n">
        <f aca="false">C104</f>
        <v>1</v>
      </c>
    </row>
    <row r="53" customFormat="false" ht="33.75" hidden="false" customHeight="true" outlineLevel="0" collapsed="false">
      <c r="A53" s="2"/>
      <c r="B53" s="123" t="s">
        <v>82</v>
      </c>
      <c r="C53" s="122" t="str">
        <f aca="false">'12.lan'!D152</f>
        <v>Negative aspect: guidance on waste/ environmentally damaging practices</v>
      </c>
      <c r="D53" s="104"/>
      <c r="E53" s="113"/>
      <c r="F53" s="106" t="str">
        <f aca="false">'12.lan'!$D$330</f>
        <v>Introduce negative points between 0 and -200</v>
      </c>
      <c r="G53" s="107"/>
      <c r="H53" s="108" t="n">
        <v>-20</v>
      </c>
      <c r="I53" s="109" t="n">
        <f aca="false">H53*J49/50</f>
        <v>-14.2857142857143</v>
      </c>
      <c r="J53" s="110" t="n">
        <f aca="false">-200*J49/50</f>
        <v>-142.857142857143</v>
      </c>
    </row>
    <row r="54" customFormat="false" ht="33" hidden="false" customHeight="true" outlineLevel="0" collapsed="false">
      <c r="A54" s="2"/>
      <c r="B54" s="96" t="s">
        <v>83</v>
      </c>
      <c r="C54" s="97" t="str">
        <f aca="false">'12.lan'!D153</f>
        <v>Co-determination and transparency within the organisation</v>
      </c>
      <c r="D54" s="98" t="n">
        <f aca="false">IF(K54="trifft nicht zu",C106,'9. Weighting'!P30)</f>
        <v>0.5</v>
      </c>
      <c r="E54" s="117" t="str">
        <f aca="false">VLOOKUP(D54,$C$102:$D$106,2,FALSE())</f>
        <v>low</v>
      </c>
      <c r="F54" s="111" t="n">
        <f aca="false">IF(K54="trifft nicht zu","trifft nicht zu",'9. Weighting'!P30)</f>
        <v>0.5</v>
      </c>
      <c r="G54" s="112"/>
      <c r="H54" s="101" t="n">
        <f aca="false">IF(J54&lt;&gt;0,SUM(I55:I58)/J54,"-")</f>
        <v>0</v>
      </c>
      <c r="I54" s="102" t="n">
        <f aca="false">IF(J54=0,0,H54*J54)</f>
        <v>0</v>
      </c>
      <c r="J54" s="102" t="n">
        <f aca="false">'9. Weighting'!P29</f>
        <v>11.9047619047619</v>
      </c>
      <c r="K54" s="1" t="str">
        <f aca="false">IF(AND(D55="trifft nicht zu",D56="trifft nicht zu",,D57="trifft nicht zu"),"trifft nicht zu","")</f>
        <v/>
      </c>
      <c r="L54" s="1" t="n">
        <f aca="false">VLOOKUP(O54,$C$102:$E$106,3,FALSE())</f>
        <v>0.5</v>
      </c>
      <c r="M54" s="1" t="n">
        <f aca="false">VLOOKUP(D54,$C$102:$E$106,3,FALSE())</f>
        <v>0.5</v>
      </c>
      <c r="N54" s="46" t="str">
        <f aca="false">IF(L54=M54,"",'12.lan'!$D$240&amp;VLOOKUP(L54,$C$102:$D$106,2,FALSE())&amp;" ("&amp;L54&amp;")")</f>
        <v/>
      </c>
      <c r="O54" s="1" t="n">
        <f aca="false">IF(K54="trifft nicht zu",C106,'9. Weighting'!P30)</f>
        <v>0.5</v>
      </c>
    </row>
    <row r="55" customFormat="false" ht="30" hidden="false" customHeight="true" outlineLevel="0" collapsed="false">
      <c r="A55" s="2"/>
      <c r="B55" s="118" t="s">
        <v>84</v>
      </c>
      <c r="C55" s="103" t="str">
        <f aca="false">'12.lan'!D154</f>
        <v>Transparency within the organisation</v>
      </c>
      <c r="D55" s="104" t="n">
        <f aca="false">C104</f>
        <v>1</v>
      </c>
      <c r="E55" s="113" t="str">
        <f aca="false">VLOOKUP(D55,$C$102:$D$106,2,FALSE())</f>
        <v>medium</v>
      </c>
      <c r="F55" s="106" t="str">
        <f aca="false">'12.lan'!$D$329</f>
        <v>Introduce value between 0 and 10</v>
      </c>
      <c r="G55" s="107"/>
      <c r="H55" s="108"/>
      <c r="I55" s="109" t="n">
        <f aca="false">IFERROR(J55*H55/10,0)</f>
        <v>0</v>
      </c>
      <c r="J55" s="110" t="n">
        <f aca="false">IFERROR($J$54*K55/(SUM($K$55:$K$57)),0)</f>
        <v>3.96825396825397</v>
      </c>
      <c r="K55" s="1" t="n">
        <f aca="false">VLOOKUP(D55,$C$102:$E$106,3,FALSE())</f>
        <v>1</v>
      </c>
      <c r="L55" s="1" t="n">
        <f aca="false">VLOOKUP(O55,$C$102:$E$106,3,FALSE())</f>
        <v>1</v>
      </c>
      <c r="M55" s="1" t="n">
        <f aca="false">VLOOKUP(D55,$C$102:$E$106,3,FALSE())</f>
        <v>1</v>
      </c>
      <c r="N55" s="46" t="str">
        <f aca="false">IF(L55=M55,"",'12.lan'!$D$240&amp;VLOOKUP(L55,$C$102:$D$106,2,FALSE())&amp;" ("&amp;L55&amp;")")</f>
        <v/>
      </c>
      <c r="O55" s="1" t="n">
        <f aca="false">C104</f>
        <v>1</v>
      </c>
    </row>
    <row r="56" customFormat="false" ht="30" hidden="false" customHeight="true" outlineLevel="0" collapsed="false">
      <c r="A56" s="2"/>
      <c r="B56" s="33" t="s">
        <v>85</v>
      </c>
      <c r="C56" s="42" t="str">
        <f aca="false">'12.lan'!D155</f>
        <v>Legitimation of the management</v>
      </c>
      <c r="D56" s="104" t="n">
        <f aca="false">C104</f>
        <v>1</v>
      </c>
      <c r="E56" s="113" t="str">
        <f aca="false">VLOOKUP(D56,$C$102:$D$106,2,FALSE())</f>
        <v>medium</v>
      </c>
      <c r="F56" s="106" t="str">
        <f aca="false">'12.lan'!$D$329</f>
        <v>Introduce value between 0 and 10</v>
      </c>
      <c r="G56" s="107"/>
      <c r="H56" s="108"/>
      <c r="I56" s="109" t="n">
        <f aca="false">IFERROR(J56*H56/10,0)</f>
        <v>0</v>
      </c>
      <c r="J56" s="110" t="n">
        <f aca="false">IFERROR($J$54*K56/(SUM($K$55:$K$57)),0)</f>
        <v>3.96825396825397</v>
      </c>
      <c r="K56" s="1" t="n">
        <f aca="false">VLOOKUP(D56,$C$102:$E$106,3,FALSE())</f>
        <v>1</v>
      </c>
      <c r="L56" s="1" t="n">
        <f aca="false">VLOOKUP(O56,$C$102:$E$106,3,FALSE())</f>
        <v>1</v>
      </c>
      <c r="M56" s="1" t="n">
        <f aca="false">VLOOKUP(D56,$C$102:$E$106,3,FALSE())</f>
        <v>1</v>
      </c>
      <c r="N56" s="46" t="str">
        <f aca="false">IF(L56=M56,"",'12.lan'!$D$240&amp;VLOOKUP(L56,$C$102:$D$106,2,FALSE())&amp;" ("&amp;L56&amp;")")</f>
        <v/>
      </c>
      <c r="O56" s="1" t="n">
        <f aca="false">C104</f>
        <v>1</v>
      </c>
    </row>
    <row r="57" customFormat="false" ht="30" hidden="false" customHeight="true" outlineLevel="0" collapsed="false">
      <c r="A57" s="2"/>
      <c r="B57" s="33" t="s">
        <v>86</v>
      </c>
      <c r="C57" s="42" t="str">
        <f aca="false">'12.lan'!D156</f>
        <v>Employee co-determination</v>
      </c>
      <c r="D57" s="104" t="n">
        <f aca="false">C104</f>
        <v>1</v>
      </c>
      <c r="E57" s="113" t="str">
        <f aca="false">VLOOKUP(D57,$C$102:$D$106,2,FALSE())</f>
        <v>medium</v>
      </c>
      <c r="F57" s="106" t="str">
        <f aca="false">'12.lan'!$D$329</f>
        <v>Introduce value between 0 and 10</v>
      </c>
      <c r="G57" s="107"/>
      <c r="H57" s="108"/>
      <c r="I57" s="109" t="n">
        <f aca="false">IFERROR(J57*H57/10,0)</f>
        <v>0</v>
      </c>
      <c r="J57" s="110" t="n">
        <f aca="false">IFERROR($J$54*K57/(SUM($K$55:$K$57)),0)</f>
        <v>3.96825396825397</v>
      </c>
      <c r="K57" s="1" t="n">
        <f aca="false">VLOOKUP(D57,$C$102:$E$106,3,FALSE())</f>
        <v>1</v>
      </c>
      <c r="L57" s="1" t="n">
        <f aca="false">VLOOKUP(O57,$C$102:$E$106,3,FALSE())</f>
        <v>1</v>
      </c>
      <c r="M57" s="1" t="n">
        <f aca="false">VLOOKUP(D57,$C$102:$E$106,3,FALSE())</f>
        <v>1</v>
      </c>
      <c r="N57" s="46" t="str">
        <f aca="false">IF(L57=M57,"",'12.lan'!$D$240&amp;VLOOKUP(L57,$C$102:$D$106,2,FALSE())&amp;" ("&amp;L57&amp;")")</f>
        <v/>
      </c>
      <c r="O57" s="1" t="n">
        <f aca="false">C104</f>
        <v>1</v>
      </c>
    </row>
    <row r="58" customFormat="false" ht="30" hidden="false" customHeight="true" outlineLevel="0" collapsed="false">
      <c r="A58" s="2"/>
      <c r="B58" s="55" t="s">
        <v>87</v>
      </c>
      <c r="C58" s="124" t="str">
        <f aca="false">'12.lan'!D157</f>
        <v>Negative aspect: obstruction of works councils</v>
      </c>
      <c r="D58" s="104"/>
      <c r="E58" s="113"/>
      <c r="F58" s="106" t="str">
        <f aca="false">'12.lan'!$D$330</f>
        <v>Introduce negative points between 0 and -200</v>
      </c>
      <c r="G58" s="107"/>
      <c r="H58" s="108"/>
      <c r="I58" s="109" t="n">
        <f aca="false">H58*J54/50</f>
        <v>0</v>
      </c>
      <c r="J58" s="110" t="n">
        <f aca="false">-200*J54/50</f>
        <v>-47.6190476190476</v>
      </c>
    </row>
    <row r="59" customFormat="false" ht="36" hidden="false" customHeight="true" outlineLevel="0" collapsed="false">
      <c r="A59" s="2"/>
      <c r="B59" s="89" t="s">
        <v>88</v>
      </c>
      <c r="C59" s="89" t="str">
        <f aca="false">'12.lan'!D158</f>
        <v>Customers and other companies</v>
      </c>
      <c r="D59" s="114" t="n">
        <f aca="false">L59</f>
        <v>1</v>
      </c>
      <c r="E59" s="115" t="str">
        <f aca="false">VLOOKUP(D59,$C$102:$D$106,2,FALSE())</f>
        <v>medium</v>
      </c>
      <c r="F59" s="116"/>
      <c r="G59" s="116"/>
      <c r="H59" s="93" t="n">
        <f aca="false">IFERROR(I59/J59,0)</f>
        <v>-1.125</v>
      </c>
      <c r="I59" s="94" t="n">
        <f aca="false">I60+I64+I68+I72</f>
        <v>-214.285714285714</v>
      </c>
      <c r="J59" s="94" t="n">
        <f aca="false">J60+J64+J68+J72</f>
        <v>190.47619047619</v>
      </c>
      <c r="L59" s="1" t="n">
        <f aca="false">'9. Weighting'!K52</f>
        <v>1</v>
      </c>
      <c r="N59" s="95" t="str">
        <f aca="false">IF(D59&lt;&gt;L59,'12.lan'!$D$240&amp;VLOOKUP(L59,$C$102:$D$106,2,FALSE())&amp;" ("&amp;L59&amp;")","")</f>
        <v/>
      </c>
    </row>
    <row r="60" customFormat="false" ht="33" hidden="false" customHeight="true" outlineLevel="0" collapsed="false">
      <c r="A60" s="2"/>
      <c r="B60" s="96" t="s">
        <v>89</v>
      </c>
      <c r="C60" s="97" t="str">
        <f aca="false">'12.lan'!D159</f>
        <v>Ethical customer relations</v>
      </c>
      <c r="D60" s="98" t="n">
        <f aca="false">IF(K60="trifft nicht zu",C106,'9. Weighting'!M37)</f>
        <v>1</v>
      </c>
      <c r="E60" s="117" t="str">
        <f aca="false">VLOOKUP(D60,$C$102:$D$106,2,FALSE())</f>
        <v>medium</v>
      </c>
      <c r="F60" s="111" t="n">
        <f aca="false">IF(K60="trifft nicht zu","trifft nicht zu",'9. Weighting'!M37)</f>
        <v>1</v>
      </c>
      <c r="G60" s="112"/>
      <c r="H60" s="101" t="n">
        <f aca="false">IF(J60&lt;&gt;0,SUM(I61:I63)/J60,"-")</f>
        <v>-3.4</v>
      </c>
      <c r="I60" s="102" t="n">
        <f aca="false">IF(J60=0,0,H60*J60)</f>
        <v>-161.904761904762</v>
      </c>
      <c r="J60" s="102" t="n">
        <f aca="false">'9. Weighting'!M36</f>
        <v>47.6190476190476</v>
      </c>
      <c r="K60" s="1" t="str">
        <f aca="false">IF(AND(D61="trifft nicht zu",D62="trifft nicht zu"),"trifft nicht zu","")</f>
        <v/>
      </c>
      <c r="L60" s="1" t="n">
        <f aca="false">VLOOKUP(O60,$C$102:$E$106,3,FALSE())</f>
        <v>1</v>
      </c>
      <c r="M60" s="1" t="n">
        <f aca="false">VLOOKUP(D60,$C$102:$E$106,3,FALSE())</f>
        <v>1</v>
      </c>
      <c r="N60" s="46" t="str">
        <f aca="false">IF(L60=M60,"",'12.lan'!$D$240&amp;VLOOKUP(L60,$C$102:$D$106,2,FALSE())&amp;" ("&amp;L60&amp;")")</f>
        <v/>
      </c>
      <c r="O60" s="1" t="n">
        <f aca="false">IF(K60="trifft nicht zu",C106,'9. Weighting'!M37)</f>
        <v>1</v>
      </c>
    </row>
    <row r="61" customFormat="false" ht="30" hidden="false" customHeight="true" outlineLevel="0" collapsed="false">
      <c r="A61" s="2"/>
      <c r="B61" s="103" t="s">
        <v>90</v>
      </c>
      <c r="C61" s="103" t="str">
        <f aca="false">'12.lan'!D160</f>
        <v>Respect for human dignity in communication with customers</v>
      </c>
      <c r="D61" s="104" t="n">
        <f aca="false">C104</f>
        <v>1</v>
      </c>
      <c r="E61" s="113" t="str">
        <f aca="false">VLOOKUP(D61,$C$102:$D$106,2,FALSE())</f>
        <v>medium</v>
      </c>
      <c r="F61" s="106" t="str">
        <f aca="false">'12.lan'!$D$329</f>
        <v>Introduce value between 0 and 10</v>
      </c>
      <c r="G61" s="107"/>
      <c r="H61" s="108" t="n">
        <v>6</v>
      </c>
      <c r="I61" s="109" t="n">
        <f aca="false">IFERROR(J61*H61/10,0)</f>
        <v>14.2857142857143</v>
      </c>
      <c r="J61" s="110" t="n">
        <f aca="false">IFERROR($J$60*K61/(SUM($K$61:$K$62)),0)</f>
        <v>23.8095238095238</v>
      </c>
      <c r="K61" s="1" t="n">
        <f aca="false">VLOOKUP(D61,$C$102:$E$106,3,FALSE())</f>
        <v>1</v>
      </c>
      <c r="L61" s="1" t="n">
        <f aca="false">VLOOKUP(O61,$C$102:$E$106,3,FALSE())</f>
        <v>1</v>
      </c>
      <c r="M61" s="1" t="n">
        <f aca="false">VLOOKUP(D61,$C$102:$E$106,3,FALSE())</f>
        <v>1</v>
      </c>
      <c r="N61" s="46" t="str">
        <f aca="false">IF(L61=M61,"",'12.lan'!$D$240&amp;VLOOKUP(L61,$C$102:$D$106,2,FALSE())&amp;" ("&amp;L61&amp;")")</f>
        <v/>
      </c>
      <c r="O61" s="1" t="n">
        <f aca="false">C104</f>
        <v>1</v>
      </c>
    </row>
    <row r="62" customFormat="false" ht="30" hidden="false" customHeight="true" outlineLevel="0" collapsed="false">
      <c r="A62" s="2"/>
      <c r="B62" s="33" t="s">
        <v>91</v>
      </c>
      <c r="C62" s="42" t="str">
        <f aca="false">'12.lan'!D161</f>
        <v>Barrier-free access</v>
      </c>
      <c r="D62" s="104" t="n">
        <f aca="false">C104</f>
        <v>1</v>
      </c>
      <c r="E62" s="113" t="str">
        <f aca="false">VLOOKUP(D62,$C$102:$D$106,2,FALSE())</f>
        <v>medium</v>
      </c>
      <c r="F62" s="106" t="str">
        <f aca="false">'12.lan'!$D$329</f>
        <v>Introduce value between 0 and 10</v>
      </c>
      <c r="G62" s="107"/>
      <c r="H62" s="108" t="n">
        <v>6</v>
      </c>
      <c r="I62" s="109" t="n">
        <f aca="false">IFERROR(J62*H62/10,0)</f>
        <v>14.2857142857143</v>
      </c>
      <c r="J62" s="110" t="n">
        <f aca="false">IFERROR($J$60*K62/(SUM($K$61:$K$62)),0)</f>
        <v>23.8095238095238</v>
      </c>
      <c r="K62" s="1" t="n">
        <f aca="false">VLOOKUP(D62,$C$102:$E$106,3,FALSE())</f>
        <v>1</v>
      </c>
      <c r="L62" s="1" t="n">
        <f aca="false">VLOOKUP(O62,$C$102:$E$106,3,FALSE())</f>
        <v>1</v>
      </c>
      <c r="M62" s="1" t="n">
        <f aca="false">VLOOKUP(D62,$C$102:$E$106,3,FALSE())</f>
        <v>1</v>
      </c>
      <c r="N62" s="46" t="str">
        <f aca="false">IF(L62=M62,"",'12.lan'!$D$240&amp;VLOOKUP(L62,$C$102:$D$106,2,FALSE())&amp;" ("&amp;L62&amp;")")</f>
        <v/>
      </c>
      <c r="O62" s="1" t="n">
        <f aca="false">C104</f>
        <v>1</v>
      </c>
    </row>
    <row r="63" customFormat="false" ht="30" hidden="false" customHeight="true" outlineLevel="0" collapsed="false">
      <c r="A63" s="2"/>
      <c r="B63" s="42" t="s">
        <v>92</v>
      </c>
      <c r="C63" s="42" t="str">
        <f aca="false">'12.lan'!D162</f>
        <v>Negative aspect: unethical advertising</v>
      </c>
      <c r="D63" s="104"/>
      <c r="E63" s="113"/>
      <c r="F63" s="106" t="str">
        <f aca="false">'12.lan'!$D$330</f>
        <v>Introduce negative points between 0 and -200</v>
      </c>
      <c r="G63" s="107"/>
      <c r="H63" s="108" t="n">
        <v>-200</v>
      </c>
      <c r="I63" s="109" t="n">
        <f aca="false">H63*J60/50</f>
        <v>-190.47619047619</v>
      </c>
      <c r="J63" s="110" t="n">
        <f aca="false">-200*J60/50</f>
        <v>-190.47619047619</v>
      </c>
    </row>
    <row r="64" customFormat="false" ht="33" hidden="false" customHeight="true" outlineLevel="0" collapsed="false">
      <c r="A64" s="2"/>
      <c r="B64" s="96" t="s">
        <v>93</v>
      </c>
      <c r="C64" s="97" t="str">
        <f aca="false">'12.lan'!D163</f>
        <v>Cooperation and solidarity with other companies</v>
      </c>
      <c r="D64" s="98" t="n">
        <f aca="false">IF(K64="trifft nicht zu",C106,'9. Weighting'!N37)</f>
        <v>1</v>
      </c>
      <c r="E64" s="117" t="str">
        <f aca="false">VLOOKUP(D64,$C$102:$D$106,2,FALSE())</f>
        <v>medium</v>
      </c>
      <c r="F64" s="111" t="n">
        <f aca="false">IF(K64="trifft nicht zu","trifft nicht zu",'9. Weighting'!N37)</f>
        <v>1</v>
      </c>
      <c r="G64" s="112"/>
      <c r="H64" s="101" t="n">
        <f aca="false">IF(J64&lt;&gt;0,SUM(I65:I67)/J64,"-")</f>
        <v>0</v>
      </c>
      <c r="I64" s="102" t="n">
        <f aca="false">IF(J64=0,0,H64*J64)</f>
        <v>0</v>
      </c>
      <c r="J64" s="102" t="n">
        <f aca="false">'9. Weighting'!N36</f>
        <v>47.6190476190476</v>
      </c>
      <c r="K64" s="1" t="str">
        <f aca="false">IF(AND(D65="trifft nicht zu",D66="trifft nicht zu"),"trifft nicht zu","")</f>
        <v/>
      </c>
      <c r="L64" s="1" t="n">
        <f aca="false">VLOOKUP(O64,$C$102:$E$106,3,FALSE())</f>
        <v>1</v>
      </c>
      <c r="M64" s="1" t="n">
        <f aca="false">VLOOKUP(D64,$C$102:$E$106,3,FALSE())</f>
        <v>1</v>
      </c>
      <c r="N64" s="46" t="str">
        <f aca="false">IF(L64=M64,"",'12.lan'!$D$240&amp;VLOOKUP(L64,$C$102:$D$106,2,FALSE())&amp;" ("&amp;L64&amp;")")</f>
        <v/>
      </c>
      <c r="O64" s="1" t="n">
        <f aca="false">IF(K64="trifft nicht zu",C106,'9. Weighting'!N37)</f>
        <v>1</v>
      </c>
    </row>
    <row r="65" customFormat="false" ht="30" hidden="false" customHeight="true" outlineLevel="0" collapsed="false">
      <c r="A65" s="2"/>
      <c r="B65" s="103" t="s">
        <v>94</v>
      </c>
      <c r="C65" s="103" t="str">
        <f aca="false">'12.lan'!D164</f>
        <v>Cooperation with other companies</v>
      </c>
      <c r="D65" s="104" t="n">
        <f aca="false">C104</f>
        <v>1</v>
      </c>
      <c r="E65" s="113" t="str">
        <f aca="false">VLOOKUP(D65,$C$102:$D$106,2,FALSE())</f>
        <v>medium</v>
      </c>
      <c r="F65" s="106" t="str">
        <f aca="false">'12.lan'!$D$329</f>
        <v>Introduce value between 0 and 10</v>
      </c>
      <c r="G65" s="107"/>
      <c r="H65" s="108"/>
      <c r="I65" s="109" t="n">
        <f aca="false">IFERROR(J65*H65/10,0)</f>
        <v>0</v>
      </c>
      <c r="J65" s="110" t="n">
        <f aca="false">IFERROR($J$64*K65/(SUM($K$65:$K$66)),0)</f>
        <v>23.8095238095238</v>
      </c>
      <c r="K65" s="1" t="n">
        <f aca="false">VLOOKUP(D65,$C$102:$E$106,3,FALSE())</f>
        <v>1</v>
      </c>
      <c r="L65" s="1" t="n">
        <f aca="false">VLOOKUP(O65,$C$102:$E$106,3,FALSE())</f>
        <v>1</v>
      </c>
      <c r="M65" s="1" t="n">
        <f aca="false">VLOOKUP(D65,$C$102:$E$106,3,FALSE())</f>
        <v>1</v>
      </c>
      <c r="N65" s="46" t="str">
        <f aca="false">IF(L65=M65,"",'12.lan'!$D$240&amp;VLOOKUP(L65,$C$102:$D$106,2,FALSE())&amp;" ("&amp;L65&amp;")")</f>
        <v/>
      </c>
      <c r="O65" s="1" t="n">
        <f aca="false">C104</f>
        <v>1</v>
      </c>
    </row>
    <row r="66" customFormat="false" ht="30" hidden="false" customHeight="true" outlineLevel="0" collapsed="false">
      <c r="A66" s="2"/>
      <c r="B66" s="42" t="s">
        <v>95</v>
      </c>
      <c r="C66" s="42" t="str">
        <f aca="false">'12.lan'!D165</f>
        <v>Solidarity with other companies</v>
      </c>
      <c r="D66" s="104" t="n">
        <f aca="false">C104</f>
        <v>1</v>
      </c>
      <c r="E66" s="113" t="str">
        <f aca="false">VLOOKUP(D66,$C$102:$D$106,2,FALSE())</f>
        <v>medium</v>
      </c>
      <c r="F66" s="106" t="str">
        <f aca="false">'12.lan'!$D$329</f>
        <v>Introduce value between 0 and 10</v>
      </c>
      <c r="G66" s="107"/>
      <c r="H66" s="108"/>
      <c r="I66" s="109" t="n">
        <f aca="false">IFERROR(J66*H66/10,0)</f>
        <v>0</v>
      </c>
      <c r="J66" s="110" t="n">
        <f aca="false">IFERROR($J$64*K66/(SUM($K$65:$K$66)),0)</f>
        <v>23.8095238095238</v>
      </c>
      <c r="K66" s="1" t="n">
        <f aca="false">VLOOKUP(D66,$C$102:$E$106,3,FALSE())</f>
        <v>1</v>
      </c>
      <c r="L66" s="1" t="n">
        <f aca="false">VLOOKUP(O66,$C$102:$E$106,3,FALSE())</f>
        <v>1</v>
      </c>
      <c r="M66" s="1" t="n">
        <f aca="false">VLOOKUP(D66,$C$102:$E$106,3,FALSE())</f>
        <v>1</v>
      </c>
      <c r="N66" s="46" t="str">
        <f aca="false">IF(L66=M66,"",'12.lan'!$D$240&amp;VLOOKUP(L66,$C$102:$D$106,2,FALSE())&amp;" ("&amp;L66&amp;")")</f>
        <v/>
      </c>
      <c r="O66" s="1" t="n">
        <f aca="false">C104</f>
        <v>1</v>
      </c>
    </row>
    <row r="67" customFormat="false" ht="33.75" hidden="false" customHeight="true" outlineLevel="0" collapsed="false">
      <c r="A67" s="2"/>
      <c r="B67" s="122" t="s">
        <v>96</v>
      </c>
      <c r="C67" s="122" t="str">
        <f aca="false">'12.lan'!D166</f>
        <v>Negative aspect: abuse of market power to the detriment of other companies</v>
      </c>
      <c r="D67" s="104"/>
      <c r="E67" s="113"/>
      <c r="F67" s="106" t="str">
        <f aca="false">'12.lan'!$D$330</f>
        <v>Introduce negative points between 0 and -200</v>
      </c>
      <c r="G67" s="125"/>
      <c r="H67" s="108"/>
      <c r="I67" s="109" t="n">
        <f aca="false">H67*J64/50</f>
        <v>0</v>
      </c>
      <c r="J67" s="110" t="n">
        <f aca="false">-200*J64/50</f>
        <v>-190.47619047619</v>
      </c>
    </row>
    <row r="68" customFormat="false" ht="36" hidden="false" customHeight="true" outlineLevel="0" collapsed="false">
      <c r="A68" s="2"/>
      <c r="B68" s="96" t="s">
        <v>97</v>
      </c>
      <c r="C68" s="126" t="str">
        <f aca="false">'12.lan'!D167</f>
        <v>Impact on the environment of the use and disposal of products and services</v>
      </c>
      <c r="D68" s="98" t="n">
        <f aca="false">IF(K68="trifft nicht zu",C106,'9. Weighting'!O37)</f>
        <v>1</v>
      </c>
      <c r="E68" s="117" t="str">
        <f aca="false">VLOOKUP(D68,$C$102:$D$106,2,FALSE())</f>
        <v>medium</v>
      </c>
      <c r="F68" s="111" t="n">
        <f aca="false">IF(K68="trifft nicht zu","trifft nicht zu",'9. Weighting'!O37)</f>
        <v>1</v>
      </c>
      <c r="G68" s="127"/>
      <c r="H68" s="101" t="n">
        <f aca="false">IF(J68&lt;&gt;0,SUM(I69:I71)/J68,"-")</f>
        <v>0</v>
      </c>
      <c r="I68" s="102" t="n">
        <f aca="false">IF(J68=0,0,H68*J68)</f>
        <v>0</v>
      </c>
      <c r="J68" s="102" t="n">
        <f aca="false">'9. Weighting'!O36</f>
        <v>47.6190476190476</v>
      </c>
      <c r="K68" s="1" t="str">
        <f aca="false">IF(AND(D69="trifft nicht zu",D70="trifft nicht zu"),"trifft nicht zu","")</f>
        <v/>
      </c>
      <c r="L68" s="1" t="n">
        <f aca="false">VLOOKUP(O68,$C$102:$E$106,3,FALSE())</f>
        <v>1</v>
      </c>
      <c r="M68" s="1" t="n">
        <f aca="false">VLOOKUP(D68,$C$102:$E$106,3,FALSE())</f>
        <v>1</v>
      </c>
      <c r="N68" s="46" t="str">
        <f aca="false">IF(L68=M68,"",'12.lan'!$D$240&amp;VLOOKUP(L68,$C$102:$D$106,2,FALSE())&amp;" ("&amp;L68&amp;")")</f>
        <v/>
      </c>
      <c r="O68" s="1" t="n">
        <f aca="false">IF(K68="trifft nicht zu",C106,'9. Weighting'!O37)</f>
        <v>1</v>
      </c>
    </row>
    <row r="69" customFormat="false" ht="33.75" hidden="false" customHeight="true" outlineLevel="0" collapsed="false">
      <c r="A69" s="2"/>
      <c r="B69" s="103" t="s">
        <v>98</v>
      </c>
      <c r="C69" s="103" t="str">
        <f aca="false">'12.lan'!D168</f>
        <v>Environmental cost-benefit ration of products and services (efficiency and consistency) </v>
      </c>
      <c r="D69" s="104" t="n">
        <f aca="false">C104</f>
        <v>1</v>
      </c>
      <c r="E69" s="113" t="str">
        <f aca="false">VLOOKUP(D69,$C$102:$D$106,2,FALSE())</f>
        <v>medium</v>
      </c>
      <c r="F69" s="106" t="str">
        <f aca="false">'12.lan'!$D$329</f>
        <v>Introduce value between 0 and 10</v>
      </c>
      <c r="G69" s="107"/>
      <c r="H69" s="108"/>
      <c r="I69" s="109" t="n">
        <f aca="false">IFERROR(J69*H69/10,0)</f>
        <v>0</v>
      </c>
      <c r="J69" s="110" t="n">
        <f aca="false">IFERROR($J$68*K69/(SUM($K$69:$K$70)),0)</f>
        <v>23.8095238095238</v>
      </c>
      <c r="K69" s="1" t="n">
        <f aca="false">VLOOKUP(D69,$C$102:$E$106,3,FALSE())</f>
        <v>1</v>
      </c>
      <c r="L69" s="1" t="n">
        <f aca="false">VLOOKUP(O69,$C$102:$E$106,3,FALSE())</f>
        <v>1</v>
      </c>
      <c r="M69" s="1" t="n">
        <f aca="false">VLOOKUP(D69,$C$102:$E$106,3,FALSE())</f>
        <v>1</v>
      </c>
      <c r="N69" s="46" t="str">
        <f aca="false">IF(L69=M69,"",'12.lan'!$D$240&amp;VLOOKUP(L69,$C$102:$D$106,2,FALSE())&amp;" ("&amp;L69&amp;")")</f>
        <v/>
      </c>
      <c r="O69" s="1" t="n">
        <f aca="false">C104</f>
        <v>1</v>
      </c>
    </row>
    <row r="70" customFormat="false" ht="30" hidden="false" customHeight="true" outlineLevel="0" collapsed="false">
      <c r="A70" s="2"/>
      <c r="B70" s="42" t="s">
        <v>99</v>
      </c>
      <c r="C70" s="42" t="str">
        <f aca="false">'12.lan'!D169</f>
        <v>Moderate use of products and services (sufficiency)</v>
      </c>
      <c r="D70" s="104" t="n">
        <f aca="false">C104</f>
        <v>1</v>
      </c>
      <c r="E70" s="113" t="str">
        <f aca="false">VLOOKUP(D70,$C$102:$D$106,2,FALSE())</f>
        <v>medium</v>
      </c>
      <c r="F70" s="106" t="str">
        <f aca="false">'12.lan'!$D$329</f>
        <v>Introduce value between 0 and 10</v>
      </c>
      <c r="G70" s="107"/>
      <c r="H70" s="108"/>
      <c r="I70" s="109" t="n">
        <f aca="false">IFERROR(J70*H70/10,0)</f>
        <v>0</v>
      </c>
      <c r="J70" s="110" t="n">
        <f aca="false">IFERROR($J$68*K70/(SUM($K$69:$K$70)),0)</f>
        <v>23.8095238095238</v>
      </c>
      <c r="K70" s="1" t="n">
        <f aca="false">VLOOKUP(D70,$C$102:$E$106,3,FALSE())</f>
        <v>1</v>
      </c>
      <c r="L70" s="1" t="n">
        <f aca="false">VLOOKUP(O70,$C$102:$E$106,3,FALSE())</f>
        <v>1</v>
      </c>
      <c r="M70" s="1" t="n">
        <f aca="false">VLOOKUP(D70,$C$102:$E$106,3,FALSE())</f>
        <v>1</v>
      </c>
      <c r="N70" s="46" t="str">
        <f aca="false">IF(L70=M70,"",'12.lan'!$D$240&amp;VLOOKUP(L70,$C$102:$D$106,2,FALSE())&amp;" ("&amp;L70&amp;")")</f>
        <v/>
      </c>
      <c r="O70" s="1" t="n">
        <f aca="false">C104</f>
        <v>1</v>
      </c>
    </row>
    <row r="71" customFormat="false" ht="33" hidden="false" customHeight="true" outlineLevel="0" collapsed="false">
      <c r="A71" s="2"/>
      <c r="B71" s="122" t="s">
        <v>100</v>
      </c>
      <c r="C71" s="122" t="str">
        <f aca="false">'12.lan'!D170</f>
        <v>Negative aspect: wilful disregard of disproportionate environmental impacts</v>
      </c>
      <c r="D71" s="104"/>
      <c r="E71" s="113"/>
      <c r="F71" s="106" t="str">
        <f aca="false">'12.lan'!$D$330</f>
        <v>Introduce negative points between 0 and -200</v>
      </c>
      <c r="G71" s="107"/>
      <c r="H71" s="108"/>
      <c r="I71" s="109" t="n">
        <f aca="false">H71*J68/50</f>
        <v>0</v>
      </c>
      <c r="J71" s="110" t="n">
        <f aca="false">-200*J68/50</f>
        <v>-190.47619047619</v>
      </c>
    </row>
    <row r="72" customFormat="false" ht="33" hidden="false" customHeight="true" outlineLevel="0" collapsed="false">
      <c r="A72" s="2"/>
      <c r="B72" s="96" t="s">
        <v>101</v>
      </c>
      <c r="C72" s="97" t="str">
        <f aca="false">'12.lan'!D171</f>
        <v>Customer participation and product transparency</v>
      </c>
      <c r="D72" s="98" t="n">
        <f aca="false">IF(K72="trifft nicht zu",C106,'9. Weighting'!P37)</f>
        <v>1</v>
      </c>
      <c r="E72" s="117" t="str">
        <f aca="false">VLOOKUP(D72,$C$102:$D$106,2,FALSE())</f>
        <v>medium</v>
      </c>
      <c r="F72" s="111" t="n">
        <f aca="false">IF(K72="trifft nicht zu","trifft nicht zu",'9. Weighting'!P37)</f>
        <v>1</v>
      </c>
      <c r="G72" s="112"/>
      <c r="H72" s="101" t="n">
        <f aca="false">IF(J72&lt;&gt;0,SUM(I73:I75)/J72,"-")</f>
        <v>-1.1</v>
      </c>
      <c r="I72" s="102" t="n">
        <f aca="false">IF(J72=0,0,H72*J72)</f>
        <v>-52.3809523809524</v>
      </c>
      <c r="J72" s="102" t="n">
        <f aca="false">'9. Weighting'!P36</f>
        <v>47.6190476190476</v>
      </c>
      <c r="K72" s="1" t="str">
        <f aca="false">IF(AND(D73="trifft nicht zu",D74="trifft nicht zu"),"trifft nicht zu","")</f>
        <v/>
      </c>
      <c r="L72" s="1" t="n">
        <f aca="false">VLOOKUP(O72,$C$102:$E$106,3,FALSE())</f>
        <v>1</v>
      </c>
      <c r="M72" s="1" t="n">
        <f aca="false">VLOOKUP(D72,$C$102:$E$106,3,FALSE())</f>
        <v>1</v>
      </c>
      <c r="N72" s="46" t="str">
        <f aca="false">IF(L72=M72,"",'12.lan'!$D$240&amp;VLOOKUP(L72,$C$102:$D$106,2,FALSE())&amp;" ("&amp;L72&amp;")")</f>
        <v/>
      </c>
      <c r="O72" s="1" t="n">
        <f aca="false">IF(K72="trifft nicht zu",C106,'9. Weighting'!P37)</f>
        <v>1</v>
      </c>
    </row>
    <row r="73" customFormat="false" ht="33.75" hidden="false" customHeight="true" outlineLevel="0" collapsed="false">
      <c r="A73" s="2"/>
      <c r="B73" s="103" t="s">
        <v>102</v>
      </c>
      <c r="C73" s="103" t="str">
        <f aca="false">'12.lan'!D172</f>
        <v>Customer participation, joint product development and market research</v>
      </c>
      <c r="D73" s="104" t="n">
        <f aca="false">C104</f>
        <v>1</v>
      </c>
      <c r="E73" s="113" t="str">
        <f aca="false">VLOOKUP(D73,$C$102:$D$106,2,FALSE())</f>
        <v>medium</v>
      </c>
      <c r="F73" s="106" t="str">
        <f aca="false">'12.lan'!$D$329</f>
        <v>Introduce value between 0 and 10</v>
      </c>
      <c r="G73" s="107"/>
      <c r="H73" s="108" t="n">
        <v>0</v>
      </c>
      <c r="I73" s="109" t="n">
        <f aca="false">IFERROR(J73*H73/10,0)</f>
        <v>0</v>
      </c>
      <c r="J73" s="110" t="n">
        <f aca="false">IFERROR($J$72*K73/(SUM($K$73:$K$74)),0)</f>
        <v>23.8095238095238</v>
      </c>
      <c r="K73" s="1" t="n">
        <f aca="false">VLOOKUP(D73,$C$102:$E$106,3,FALSE())</f>
        <v>1</v>
      </c>
      <c r="L73" s="1" t="n">
        <f aca="false">VLOOKUP(O73,$C$102:$E$106,3,FALSE())</f>
        <v>1</v>
      </c>
      <c r="M73" s="1" t="n">
        <f aca="false">VLOOKUP(D73,$C$102:$E$106,3,FALSE())</f>
        <v>1</v>
      </c>
      <c r="N73" s="46" t="str">
        <f aca="false">IF(L73=M73,"",'12.lan'!$D$240&amp;VLOOKUP(L73,$C$102:$D$106,2,FALSE())&amp;" ("&amp;L73&amp;")")</f>
        <v/>
      </c>
      <c r="O73" s="1" t="n">
        <f aca="false">C104</f>
        <v>1</v>
      </c>
    </row>
    <row r="74" customFormat="false" ht="30" hidden="false" customHeight="true" outlineLevel="0" collapsed="false">
      <c r="A74" s="2"/>
      <c r="B74" s="122" t="s">
        <v>103</v>
      </c>
      <c r="C74" s="122" t="str">
        <f aca="false">'12.lan'!D173</f>
        <v>Product transparency</v>
      </c>
      <c r="D74" s="104" t="n">
        <f aca="false">C104</f>
        <v>1</v>
      </c>
      <c r="E74" s="113" t="str">
        <f aca="false">VLOOKUP(D74,$C$102:$D$106,2,FALSE())</f>
        <v>medium</v>
      </c>
      <c r="F74" s="106" t="str">
        <f aca="false">'12.lan'!$D$329</f>
        <v>Introduce value between 0 and 10</v>
      </c>
      <c r="G74" s="107"/>
      <c r="H74" s="108"/>
      <c r="I74" s="109" t="n">
        <f aca="false">IFERROR(J74*H74/10,0)</f>
        <v>0</v>
      </c>
      <c r="J74" s="110" t="n">
        <f aca="false">IFERROR($J$72*K74/(SUM($K$73:$K$74)),0)</f>
        <v>23.8095238095238</v>
      </c>
      <c r="K74" s="1" t="n">
        <f aca="false">VLOOKUP(D74,$C$102:$E$106,3,FALSE())</f>
        <v>1</v>
      </c>
      <c r="L74" s="1" t="n">
        <f aca="false">VLOOKUP(O74,$C$102:$E$106,3,FALSE())</f>
        <v>1</v>
      </c>
      <c r="M74" s="1" t="n">
        <f aca="false">VLOOKUP(D74,$C$102:$E$106,3,FALSE())</f>
        <v>1</v>
      </c>
      <c r="N74" s="46" t="str">
        <f aca="false">IF(L74=M74,"",'12.lan'!$D$240&amp;VLOOKUP(L74,$C$102:$D$106,2,FALSE())&amp;" ("&amp;L74&amp;")")</f>
        <v/>
      </c>
      <c r="O74" s="1" t="n">
        <f aca="false">C104</f>
        <v>1</v>
      </c>
    </row>
    <row r="75" customFormat="false" ht="30" hidden="false" customHeight="true" outlineLevel="0" collapsed="false">
      <c r="A75" s="2"/>
      <c r="B75" s="122" t="s">
        <v>103</v>
      </c>
      <c r="C75" s="122" t="str">
        <f aca="false">'12.lan'!D174</f>
        <v>Negative aspect: non-disclosure of hazardous substances</v>
      </c>
      <c r="D75" s="104"/>
      <c r="E75" s="113"/>
      <c r="F75" s="106" t="str">
        <f aca="false">'12.lan'!$D$330</f>
        <v>Introduce negative points between 0 and -200</v>
      </c>
      <c r="G75" s="107"/>
      <c r="H75" s="108" t="n">
        <v>-55</v>
      </c>
      <c r="I75" s="109" t="n">
        <f aca="false">H75*J72/50</f>
        <v>-52.3809523809524</v>
      </c>
      <c r="J75" s="110" t="n">
        <f aca="false">-200*J72/50</f>
        <v>-190.47619047619</v>
      </c>
    </row>
    <row r="76" customFormat="false" ht="36" hidden="false" customHeight="true" outlineLevel="0" collapsed="false">
      <c r="A76" s="2"/>
      <c r="B76" s="89" t="s">
        <v>104</v>
      </c>
      <c r="C76" s="89" t="str">
        <f aca="false">'12.lan'!D175</f>
        <v>Social environment</v>
      </c>
      <c r="D76" s="114" t="n">
        <f aca="false">L76</f>
        <v>1</v>
      </c>
      <c r="E76" s="115" t="str">
        <f aca="false">VLOOKUP(D76,$C$102:$D$106,2,FALSE())</f>
        <v>medium</v>
      </c>
      <c r="F76" s="116"/>
      <c r="G76" s="116"/>
      <c r="H76" s="93" t="n">
        <f aca="false">IFERROR(I76/J76,0)</f>
        <v>-0.50875</v>
      </c>
      <c r="I76" s="94" t="n">
        <f aca="false">I77+I81+I86+I90</f>
        <v>-96.9047619047619</v>
      </c>
      <c r="J76" s="94" t="n">
        <f aca="false">J77+J81+J86+J90</f>
        <v>190.47619047619</v>
      </c>
      <c r="L76" s="1" t="n">
        <f aca="false">'9. Weighting'!K53</f>
        <v>1</v>
      </c>
      <c r="N76" s="95" t="str">
        <f aca="false">IF(D76&lt;&gt;L76,'12.lan'!$D$240&amp;VLOOKUP(L76,$C$102:$D$106,2,FALSE())&amp;" ("&amp;L76&amp;")","")</f>
        <v/>
      </c>
    </row>
    <row r="77" customFormat="false" ht="36" hidden="false" customHeight="true" outlineLevel="0" collapsed="false">
      <c r="A77" s="2"/>
      <c r="B77" s="96" t="s">
        <v>105</v>
      </c>
      <c r="C77" s="126" t="str">
        <f aca="false">'12.lan'!D176</f>
        <v>Purpose of products and services and their effects on society</v>
      </c>
      <c r="D77" s="98" t="n">
        <f aca="false">IF(K77="trifft nicht zu",C106,'9. Weighting'!M43)</f>
        <v>1</v>
      </c>
      <c r="E77" s="117" t="str">
        <f aca="false">VLOOKUP(D77,$C$102:$D$106,2,FALSE())</f>
        <v>medium</v>
      </c>
      <c r="F77" s="128" t="n">
        <f aca="false">IF(K77="trifft nicht zu","trifft nicht zu",'9. Weighting'!M43)</f>
        <v>1</v>
      </c>
      <c r="G77" s="129"/>
      <c r="H77" s="101" t="n">
        <f aca="false">IF(J77&lt;&gt;0,SUM(I78:I80)/J77,"-")</f>
        <v>-2</v>
      </c>
      <c r="I77" s="102" t="n">
        <f aca="false">IF(J77=0,0,H77*J77)</f>
        <v>-95.2380952380952</v>
      </c>
      <c r="J77" s="102" t="n">
        <f aca="false">'9. Weighting'!M42</f>
        <v>47.6190476190476</v>
      </c>
      <c r="K77" s="1" t="str">
        <f aca="false">IF(AND(D78="trifft nicht zu",D79="trifft nicht zu"),"trifft nicht zu","")</f>
        <v/>
      </c>
      <c r="L77" s="1" t="n">
        <f aca="false">VLOOKUP(O77,$C$102:$E$106,3,FALSE())</f>
        <v>1</v>
      </c>
      <c r="M77" s="1" t="n">
        <f aca="false">VLOOKUP(D77,$C$102:$E$106,3,FALSE())</f>
        <v>1</v>
      </c>
      <c r="N77" s="46" t="str">
        <f aca="false">IF(L77=M77,"",'12.lan'!$D$240&amp;VLOOKUP(L77,$C$102:$D$106,2,FALSE())&amp;" ("&amp;L77&amp;")")</f>
        <v/>
      </c>
      <c r="O77" s="1" t="n">
        <f aca="false">IF(K77="trifft nicht zu",C106,'9. Weighting'!M43)</f>
        <v>1</v>
      </c>
    </row>
    <row r="78" customFormat="false" ht="34.5" hidden="false" customHeight="true" outlineLevel="0" collapsed="false">
      <c r="A78" s="2"/>
      <c r="B78" s="103" t="s">
        <v>106</v>
      </c>
      <c r="C78" s="103" t="str">
        <f aca="false">'12.lan'!D177</f>
        <v>Products and services should cover basic needs and contribute to a good life</v>
      </c>
      <c r="D78" s="104" t="n">
        <f aca="false">C104</f>
        <v>1</v>
      </c>
      <c r="E78" s="113" t="str">
        <f aca="false">VLOOKUP(D78,$C$102:$D$106,2,FALSE())</f>
        <v>medium</v>
      </c>
      <c r="F78" s="106" t="str">
        <f aca="false">'12.lan'!$D$329</f>
        <v>Introduce value between 0 and 10</v>
      </c>
      <c r="G78" s="107"/>
      <c r="H78" s="108"/>
      <c r="I78" s="109" t="n">
        <f aca="false">IFERROR(J78*H78/10,0)</f>
        <v>0</v>
      </c>
      <c r="J78" s="110" t="n">
        <f aca="false">IFERROR($J$77*K78/(SUM($K$78:$K$79)),0)</f>
        <v>23.8095238095238</v>
      </c>
      <c r="K78" s="1" t="n">
        <f aca="false">VLOOKUP(D78,$C$102:$E$106,3,FALSE())</f>
        <v>1</v>
      </c>
      <c r="L78" s="1" t="n">
        <f aca="false">VLOOKUP(O78,$C$102:$E$106,3,FALSE())</f>
        <v>1</v>
      </c>
      <c r="M78" s="1" t="n">
        <f aca="false">VLOOKUP(D78,$C$102:$E$106,3,FALSE())</f>
        <v>1</v>
      </c>
      <c r="N78" s="46" t="str">
        <f aca="false">IF(L78=M78,"",'12.lan'!$D$240&amp;VLOOKUP(L78,$C$102:$D$106,2,FALSE())&amp;" ("&amp;L78&amp;")")</f>
        <v/>
      </c>
      <c r="O78" s="1" t="n">
        <f aca="false">C104</f>
        <v>1</v>
      </c>
    </row>
    <row r="79" customFormat="false" ht="30" hidden="false" customHeight="true" outlineLevel="0" collapsed="false">
      <c r="A79" s="2"/>
      <c r="B79" s="122" t="s">
        <v>107</v>
      </c>
      <c r="C79" s="122" t="str">
        <f aca="false">'12.lan'!D178</f>
        <v>Social impact of products and services</v>
      </c>
      <c r="D79" s="104" t="n">
        <f aca="false">C104</f>
        <v>1</v>
      </c>
      <c r="E79" s="113" t="str">
        <f aca="false">VLOOKUP(D79,$C$102:$D$106,2,FALSE())</f>
        <v>medium</v>
      </c>
      <c r="F79" s="106" t="str">
        <f aca="false">'12.lan'!$D$329</f>
        <v>Introduce value between 0 and 10</v>
      </c>
      <c r="G79" s="107"/>
      <c r="H79" s="108"/>
      <c r="I79" s="109" t="n">
        <f aca="false">IFERROR(J79*H79/10,0)</f>
        <v>0</v>
      </c>
      <c r="J79" s="110" t="n">
        <f aca="false">IFERROR($J$77*K79/(SUM($K$78:$K$79)),0)</f>
        <v>23.8095238095238</v>
      </c>
      <c r="K79" s="1" t="n">
        <f aca="false">VLOOKUP(D79,$C$102:$E$106,3,FALSE())</f>
        <v>1</v>
      </c>
      <c r="L79" s="1" t="n">
        <f aca="false">VLOOKUP(O79,$C$102:$E$106,3,FALSE())</f>
        <v>1</v>
      </c>
      <c r="M79" s="1" t="n">
        <f aca="false">VLOOKUP(D79,$C$102:$E$106,3,FALSE())</f>
        <v>1</v>
      </c>
      <c r="N79" s="46" t="str">
        <f aca="false">IF(L79=M79,"",'12.lan'!$D$240&amp;VLOOKUP(L79,$C$102:$D$106,2,FALSE())&amp;" ("&amp;L79&amp;")")</f>
        <v/>
      </c>
      <c r="O79" s="1" t="n">
        <f aca="false">C104</f>
        <v>1</v>
      </c>
    </row>
    <row r="80" customFormat="false" ht="30" hidden="false" customHeight="true" outlineLevel="0" collapsed="false">
      <c r="A80" s="2"/>
      <c r="B80" s="122" t="s">
        <v>108</v>
      </c>
      <c r="C80" s="122" t="str">
        <f aca="false">'12.lan'!D179</f>
        <v>Negative aspect: unethical and unfit products and services</v>
      </c>
      <c r="D80" s="104"/>
      <c r="E80" s="113"/>
      <c r="F80" s="106" t="str">
        <f aca="false">'12.lan'!$D$330</f>
        <v>Introduce negative points between 0 and -200</v>
      </c>
      <c r="G80" s="107"/>
      <c r="H80" s="108" t="n">
        <v>-100</v>
      </c>
      <c r="I80" s="109" t="n">
        <f aca="false">H80*J77/50</f>
        <v>-95.2380952380952</v>
      </c>
      <c r="J80" s="110" t="n">
        <f aca="false">-200*J77/50</f>
        <v>-190.47619047619</v>
      </c>
    </row>
    <row r="81" customFormat="false" ht="33" hidden="false" customHeight="true" outlineLevel="0" collapsed="false">
      <c r="A81" s="2"/>
      <c r="B81" s="96" t="s">
        <v>109</v>
      </c>
      <c r="C81" s="126" t="str">
        <f aca="false">'12.lan'!D180</f>
        <v>Contribution to the community</v>
      </c>
      <c r="D81" s="98" t="n">
        <f aca="false">IF(K81="trifft nicht zu",C106,'9. Weighting'!N43)</f>
        <v>1.5</v>
      </c>
      <c r="E81" s="117" t="str">
        <f aca="false">VLOOKUP(D81,$C$102:$D$106,2,FALSE())</f>
        <v>high</v>
      </c>
      <c r="F81" s="128" t="n">
        <f aca="false">IF(K81="trifft nicht zu","trifft nicht zu",'9. Weighting'!N43)</f>
        <v>1.5</v>
      </c>
      <c r="G81" s="129"/>
      <c r="H81" s="101" t="n">
        <f aca="false">IF(J81&lt;&gt;0,SUM(I82:I85)/J81,"-")</f>
        <v>0</v>
      </c>
      <c r="I81" s="102" t="n">
        <f aca="false">IF(J81=0,0,H81*J81)</f>
        <v>0</v>
      </c>
      <c r="J81" s="102" t="n">
        <f aca="false">'9. Weighting'!N42</f>
        <v>71.4285714285714</v>
      </c>
      <c r="K81" s="1" t="str">
        <f aca="false">IF(AND(D82="trifft nicht zu",D83="trifft nicht zu"),"trifft nicht zu","")</f>
        <v/>
      </c>
      <c r="L81" s="1" t="n">
        <f aca="false">VLOOKUP(O81,$C$102:$E$106,3,FALSE())</f>
        <v>1.5</v>
      </c>
      <c r="M81" s="1" t="n">
        <f aca="false">VLOOKUP(D81,$C$102:$E$106,3,FALSE())</f>
        <v>1.5</v>
      </c>
      <c r="N81" s="46" t="str">
        <f aca="false">IF(L81=M81,"",'12.lan'!$D$240&amp;VLOOKUP(L81,$C$102:$D$106,2,FALSE())&amp;" ("&amp;L81&amp;")")</f>
        <v/>
      </c>
      <c r="O81" s="1" t="n">
        <f aca="false">IF(K81="trifft nicht zu",C106,'9. Weighting'!N43)</f>
        <v>1.5</v>
      </c>
    </row>
    <row r="82" customFormat="false" ht="30" hidden="false" customHeight="true" outlineLevel="0" collapsed="false">
      <c r="A82" s="2"/>
      <c r="B82" s="118" t="s">
        <v>110</v>
      </c>
      <c r="C82" s="118" t="str">
        <f aca="false">'12.lan'!D181</f>
        <v>Taxes and social security contributions</v>
      </c>
      <c r="D82" s="104" t="n">
        <f aca="false">C104</f>
        <v>1</v>
      </c>
      <c r="E82" s="113" t="str">
        <f aca="false">VLOOKUP(D82,$C$102:$D$106,2,FALSE())</f>
        <v>medium</v>
      </c>
      <c r="F82" s="106" t="str">
        <f aca="false">'12.lan'!$D$329</f>
        <v>Introduce value between 0 and 10</v>
      </c>
      <c r="G82" s="107"/>
      <c r="H82" s="108"/>
      <c r="I82" s="109" t="n">
        <f aca="false">IFERROR(J82*H82/10,0)</f>
        <v>0</v>
      </c>
      <c r="J82" s="110" t="n">
        <f aca="false">IFERROR($J$81*K82/SUM($K$82:$K$83),0)</f>
        <v>35.7142857142857</v>
      </c>
      <c r="K82" s="1" t="n">
        <f aca="false">VLOOKUP(D82,$C$102:$E$106,3,FALSE())</f>
        <v>1</v>
      </c>
      <c r="L82" s="1" t="n">
        <f aca="false">VLOOKUP(O82,$C$102:$E$106,3,FALSE())</f>
        <v>1</v>
      </c>
      <c r="M82" s="1" t="n">
        <f aca="false">VLOOKUP(D82,$C$102:$E$106,3,FALSE())</f>
        <v>1</v>
      </c>
      <c r="N82" s="46" t="str">
        <f aca="false">IF(L82=M82,"",'12.lan'!$D$240&amp;VLOOKUP(L82,$C$102:$D$106,2,FALSE())&amp;" ("&amp;L82&amp;")")</f>
        <v/>
      </c>
      <c r="O82" s="1" t="n">
        <f aca="false">C104</f>
        <v>1</v>
      </c>
    </row>
    <row r="83" customFormat="false" ht="30" hidden="false" customHeight="true" outlineLevel="0" collapsed="false">
      <c r="A83" s="2"/>
      <c r="B83" s="33" t="s">
        <v>111</v>
      </c>
      <c r="C83" s="33" t="str">
        <f aca="false">'12.lan'!D182</f>
        <v>Voluntary contributions that strengthen society</v>
      </c>
      <c r="D83" s="104" t="n">
        <v>1</v>
      </c>
      <c r="E83" s="113" t="str">
        <f aca="false">VLOOKUP(D83,$C$102:$D$106,2,FALSE())</f>
        <v>medium</v>
      </c>
      <c r="F83" s="106" t="str">
        <f aca="false">'12.lan'!$D$329</f>
        <v>Introduce value between 0 and 10</v>
      </c>
      <c r="G83" s="107"/>
      <c r="H83" s="108"/>
      <c r="I83" s="109" t="n">
        <f aca="false">IFERROR(J83*H83/10,0)</f>
        <v>0</v>
      </c>
      <c r="J83" s="110" t="n">
        <f aca="false">IFERROR($J$81*K83/SUM($K$82:$K$83),0)</f>
        <v>35.7142857142857</v>
      </c>
      <c r="K83" s="1" t="n">
        <f aca="false">VLOOKUP(D83,$C$102:$E$106,3,FALSE())</f>
        <v>1</v>
      </c>
      <c r="L83" s="1" t="n">
        <f aca="false">VLOOKUP(O83,$C$102:$E$106,3,FALSE())</f>
        <v>1</v>
      </c>
      <c r="M83" s="1" t="n">
        <f aca="false">VLOOKUP(D83,$C$102:$E$106,3,FALSE())</f>
        <v>1</v>
      </c>
      <c r="N83" s="46" t="str">
        <f aca="false">IF(L83=M83,"",'12.lan'!$D$240&amp;VLOOKUP(L83,$C$102:$D$106,2,FALSE())&amp;" ("&amp;L83&amp;")")</f>
        <v/>
      </c>
      <c r="O83" s="1" t="n">
        <f aca="false">C104</f>
        <v>1</v>
      </c>
    </row>
    <row r="84" customFormat="false" ht="30" hidden="false" customHeight="true" outlineLevel="0" collapsed="false">
      <c r="A84" s="2"/>
      <c r="B84" s="123" t="s">
        <v>112</v>
      </c>
      <c r="C84" s="123" t="str">
        <f aca="false">'12.lan'!D183</f>
        <v>Negative aspect: inappropriate non-payment of tax</v>
      </c>
      <c r="D84" s="104"/>
      <c r="E84" s="113"/>
      <c r="F84" s="106" t="str">
        <f aca="false">'12.lan'!$D$330</f>
        <v>Introduce negative points between 0 and -200</v>
      </c>
      <c r="G84" s="107"/>
      <c r="H84" s="108"/>
      <c r="I84" s="109" t="n">
        <f aca="false">H84*J81/50</f>
        <v>0</v>
      </c>
      <c r="J84" s="110" t="n">
        <f aca="false">-200*J81/50</f>
        <v>-285.714285714286</v>
      </c>
    </row>
    <row r="85" customFormat="false" ht="30" hidden="false" customHeight="true" outlineLevel="0" collapsed="false">
      <c r="A85" s="2"/>
      <c r="B85" s="123" t="s">
        <v>113</v>
      </c>
      <c r="C85" s="123" t="str">
        <f aca="false">'12.lan'!D184</f>
        <v>Negative aspect: no anti-corruption policy</v>
      </c>
      <c r="D85" s="104"/>
      <c r="E85" s="113"/>
      <c r="F85" s="106" t="str">
        <f aca="false">'12.lan'!$D$330</f>
        <v>Introduce negative points between 0 and -200</v>
      </c>
      <c r="G85" s="107"/>
      <c r="H85" s="108" t="n">
        <v>0</v>
      </c>
      <c r="I85" s="109" t="n">
        <f aca="false">H85*J81/50</f>
        <v>0</v>
      </c>
      <c r="J85" s="110" t="n">
        <f aca="false">-200*J81/50</f>
        <v>-285.714285714286</v>
      </c>
    </row>
    <row r="86" customFormat="false" ht="33" hidden="false" customHeight="true" outlineLevel="0" collapsed="false">
      <c r="A86" s="2"/>
      <c r="B86" s="96" t="s">
        <v>114</v>
      </c>
      <c r="C86" s="97" t="str">
        <f aca="false">'12.lan'!D185</f>
        <v>Reduction of environmental impact</v>
      </c>
      <c r="D86" s="98" t="n">
        <f aca="false">IF(K86="trifft nicht zu",C106,'9. Weighting'!O43)</f>
        <v>1</v>
      </c>
      <c r="E86" s="117" t="str">
        <f aca="false">VLOOKUP(D86,$C$102:$D$106,2,FALSE())</f>
        <v>medium</v>
      </c>
      <c r="F86" s="112"/>
      <c r="G86" s="112"/>
      <c r="H86" s="101" t="n">
        <f aca="false">IF(J86&lt;&gt;0,SUM(I87:I89)/J86,"-")</f>
        <v>-0.06</v>
      </c>
      <c r="I86" s="102" t="n">
        <f aca="false">IF(J86=0,0,H86*J86)</f>
        <v>-2.85714285714286</v>
      </c>
      <c r="J86" s="102" t="n">
        <f aca="false">'9. Weighting'!O42</f>
        <v>47.6190476190476</v>
      </c>
      <c r="K86" s="1" t="str">
        <f aca="false">IF(AND(D87="trifft nicht zu",D88="trifft nicht zu"),"trifft nicht zu","")</f>
        <v/>
      </c>
      <c r="L86" s="1" t="n">
        <f aca="false">VLOOKUP(O86,$C$102:$E$106,3,FALSE())</f>
        <v>1</v>
      </c>
      <c r="M86" s="1" t="n">
        <f aca="false">VLOOKUP(D86,$C$102:$E$106,3,FALSE())</f>
        <v>1</v>
      </c>
      <c r="N86" s="46" t="str">
        <f aca="false">IF(L86=M86,"",'12.lan'!$D$240&amp;VLOOKUP(L86,$C$102:$D$106,2,FALSE())&amp;" ("&amp;L86&amp;")")</f>
        <v/>
      </c>
      <c r="O86" s="1" t="n">
        <f aca="false">IF(K86="trifft nicht zu",C106,'9. Weighting'!O43)</f>
        <v>1</v>
      </c>
    </row>
    <row r="87" customFormat="false" ht="30" hidden="false" customHeight="true" outlineLevel="0" collapsed="false">
      <c r="A87" s="2"/>
      <c r="B87" s="118" t="s">
        <v>115</v>
      </c>
      <c r="C87" s="103" t="str">
        <f aca="false">'12.lan'!D186</f>
        <v>Absolute impact and management strategy</v>
      </c>
      <c r="D87" s="104" t="n">
        <f aca="false">C104</f>
        <v>1</v>
      </c>
      <c r="E87" s="113" t="str">
        <f aca="false">VLOOKUP(D87,$C$102:$D$106,2,FALSE())</f>
        <v>medium</v>
      </c>
      <c r="F87" s="106" t="str">
        <f aca="false">'12.lan'!$D$329</f>
        <v>Introduce value between 0 and 10</v>
      </c>
      <c r="G87" s="107"/>
      <c r="H87" s="108"/>
      <c r="I87" s="109" t="n">
        <f aca="false">IFERROR(J87*H87/10,0)</f>
        <v>0</v>
      </c>
      <c r="J87" s="110" t="n">
        <f aca="false">IFERROR(J86*K87/SUM($K$87:$K$88),0)</f>
        <v>23.8095238095238</v>
      </c>
      <c r="K87" s="1" t="n">
        <f aca="false">VLOOKUP(D87,$C$102:$E$106,3,FALSE())</f>
        <v>1</v>
      </c>
      <c r="L87" s="1" t="n">
        <f aca="false">VLOOKUP(O87,$C$102:$E$106,3,FALSE())</f>
        <v>1</v>
      </c>
      <c r="M87" s="1" t="n">
        <f aca="false">VLOOKUP(D87,$C$102:$E$106,3,FALSE())</f>
        <v>1</v>
      </c>
      <c r="N87" s="46" t="str">
        <f aca="false">IF(L87=M87,"",'12.lan'!$D$240&amp;VLOOKUP(L87,$C$102:$D$106,2,FALSE())&amp;" ("&amp;L87&amp;")")</f>
        <v/>
      </c>
      <c r="O87" s="1" t="n">
        <f aca="false">C104</f>
        <v>1</v>
      </c>
    </row>
    <row r="88" customFormat="false" ht="30" hidden="false" customHeight="true" outlineLevel="0" collapsed="false">
      <c r="A88" s="2"/>
      <c r="B88" s="33" t="s">
        <v>116</v>
      </c>
      <c r="C88" s="42" t="str">
        <f aca="false">'12.lan'!D187</f>
        <v>Relative impact</v>
      </c>
      <c r="D88" s="104" t="n">
        <f aca="false">C104</f>
        <v>1</v>
      </c>
      <c r="E88" s="113" t="str">
        <f aca="false">VLOOKUP(D88,$C$102:$D$106,2,FALSE())</f>
        <v>medium</v>
      </c>
      <c r="F88" s="106" t="str">
        <f aca="false">'12.lan'!$D$329</f>
        <v>Introduce value between 0 and 10</v>
      </c>
      <c r="G88" s="107"/>
      <c r="H88" s="108"/>
      <c r="I88" s="109" t="n">
        <f aca="false">IFERROR(J88*H88/10,0)</f>
        <v>0</v>
      </c>
      <c r="J88" s="110" t="n">
        <f aca="false">IFERROR(J86*K88/SUM($K$87:$K$88),0)</f>
        <v>23.8095238095238</v>
      </c>
      <c r="K88" s="1" t="n">
        <f aca="false">VLOOKUP(D88,$C$102:$E$106,3,FALSE())</f>
        <v>1</v>
      </c>
      <c r="L88" s="1" t="n">
        <f aca="false">VLOOKUP(O88,$C$102:$E$106,3,FALSE())</f>
        <v>1</v>
      </c>
      <c r="M88" s="1" t="n">
        <f aca="false">VLOOKUP(D88,$C$102:$E$106,3,FALSE())</f>
        <v>1</v>
      </c>
      <c r="N88" s="46" t="str">
        <f aca="false">IF(L88=M88,"",'12.lan'!$D$240&amp;VLOOKUP(L88,$C$102:$D$106,2,FALSE())&amp;" ("&amp;L88&amp;")")</f>
        <v/>
      </c>
      <c r="O88" s="1" t="n">
        <f aca="false">C104</f>
        <v>1</v>
      </c>
    </row>
    <row r="89" customFormat="false" ht="33" hidden="false" customHeight="true" outlineLevel="0" collapsed="false">
      <c r="A89" s="2"/>
      <c r="B89" s="123" t="s">
        <v>117</v>
      </c>
      <c r="C89" s="122" t="str">
        <f aca="false">'12.lan'!D188</f>
        <v>Negative aspect: infringement of environmental regulations and disproportionate environmental pollution</v>
      </c>
      <c r="D89" s="104"/>
      <c r="E89" s="113"/>
      <c r="F89" s="106" t="str">
        <f aca="false">'12.lan'!$D$330</f>
        <v>Introduce negative points between 0 and -200</v>
      </c>
      <c r="G89" s="107"/>
      <c r="H89" s="108" t="n">
        <v>-3</v>
      </c>
      <c r="I89" s="109" t="n">
        <f aca="false">H89*J86/50</f>
        <v>-2.85714285714286</v>
      </c>
      <c r="J89" s="110" t="n">
        <f aca="false">-200*J86/50</f>
        <v>-190.47619047619</v>
      </c>
    </row>
    <row r="90" customFormat="false" ht="33" hidden="false" customHeight="true" outlineLevel="0" collapsed="false">
      <c r="A90" s="2"/>
      <c r="B90" s="96" t="s">
        <v>118</v>
      </c>
      <c r="C90" s="97" t="str">
        <f aca="false">'12.lan'!D189</f>
        <v>Social co-determination and transparency</v>
      </c>
      <c r="D90" s="98" t="n">
        <f aca="false">IF(K90="trifft nicht zu",C106,'9. Weighting'!P43)</f>
        <v>0.5</v>
      </c>
      <c r="E90" s="117" t="str">
        <f aca="false">VLOOKUP(D90,$C$102:$D$106,2,FALSE())</f>
        <v>low</v>
      </c>
      <c r="F90" s="112"/>
      <c r="G90" s="112"/>
      <c r="H90" s="101" t="n">
        <f aca="false">IF(J90&lt;&gt;0,SUM(I91:I93)/J90,"-")</f>
        <v>0.05</v>
      </c>
      <c r="I90" s="102" t="n">
        <f aca="false">IF(J90=0,0,H90*J90)</f>
        <v>1.19047619047619</v>
      </c>
      <c r="J90" s="102" t="n">
        <f aca="false">'9. Weighting'!P42</f>
        <v>23.8095238095238</v>
      </c>
      <c r="K90" s="1" t="str">
        <f aca="false">IF(AND(D91="trifft nicht zu",D92="trifft nicht zu"),"trifft nicht zu","")</f>
        <v/>
      </c>
      <c r="L90" s="1" t="n">
        <f aca="false">VLOOKUP(O90,$C$102:$E$106,3,FALSE())</f>
        <v>0.5</v>
      </c>
      <c r="M90" s="1" t="n">
        <f aca="false">VLOOKUP(D90,$C$102:$E$106,3,FALSE())</f>
        <v>0.5</v>
      </c>
      <c r="N90" s="46" t="str">
        <f aca="false">IF(L90=M90,"",'12.lan'!$D$240&amp;VLOOKUP(L90,$C$102:$D$106,2,FALSE())&amp;" ("&amp;L90&amp;")")</f>
        <v/>
      </c>
      <c r="O90" s="1" t="n">
        <f aca="false">IF(K90="trifft nicht zu",C106,'9. Weighting'!P43)</f>
        <v>0.5</v>
      </c>
    </row>
    <row r="91" customFormat="false" ht="30" hidden="false" customHeight="true" outlineLevel="0" collapsed="false">
      <c r="A91" s="2"/>
      <c r="B91" s="118" t="s">
        <v>119</v>
      </c>
      <c r="C91" s="103" t="str">
        <f aca="false">'12.lan'!D190</f>
        <v>Transparency</v>
      </c>
      <c r="D91" s="104" t="n">
        <v>1</v>
      </c>
      <c r="E91" s="113" t="str">
        <f aca="false">VLOOKUP(D91,$C$102:$D$106,2,FALSE())</f>
        <v>medium</v>
      </c>
      <c r="F91" s="106" t="str">
        <f aca="false">'12.lan'!$D$329</f>
        <v>Introduce value between 0 and 10</v>
      </c>
      <c r="G91" s="107"/>
      <c r="H91" s="108"/>
      <c r="I91" s="109" t="n">
        <f aca="false">IFERROR(J91*H91/10,0)</f>
        <v>0</v>
      </c>
      <c r="J91" s="110" t="n">
        <f aca="false">IFERROR($J$90*K91/SUM($K$91:$K$92),0)</f>
        <v>11.9047619047619</v>
      </c>
      <c r="K91" s="1" t="n">
        <f aca="false">VLOOKUP(D91,$C$102:$E$106,3,FALSE())</f>
        <v>1</v>
      </c>
      <c r="L91" s="1" t="n">
        <f aca="false">VLOOKUP(O91,$C$102:$E$106,3,FALSE())</f>
        <v>1</v>
      </c>
      <c r="M91" s="1" t="n">
        <f aca="false">VLOOKUP(D91,$C$102:$E$106,3,FALSE())</f>
        <v>1</v>
      </c>
      <c r="N91" s="46" t="str">
        <f aca="false">IF(L91=M91,"",'12.lan'!$D$240&amp;VLOOKUP(L91,$C$102:$D$106,2,FALSE())&amp;" ("&amp;L91&amp;")")</f>
        <v/>
      </c>
      <c r="O91" s="1" t="n">
        <f aca="false">C104</f>
        <v>1</v>
      </c>
    </row>
    <row r="92" customFormat="false" ht="30" hidden="false" customHeight="true" outlineLevel="0" collapsed="false">
      <c r="A92" s="2"/>
      <c r="B92" s="118" t="s">
        <v>120</v>
      </c>
      <c r="C92" s="103" t="str">
        <f aca="false">'12.lan'!D191</f>
        <v>Social participation</v>
      </c>
      <c r="D92" s="104" t="n">
        <f aca="false">C104</f>
        <v>1</v>
      </c>
      <c r="E92" s="113" t="str">
        <f aca="false">VLOOKUP(D92,$C$102:$D$106,2,FALSE())</f>
        <v>medium</v>
      </c>
      <c r="F92" s="106" t="str">
        <f aca="false">'12.lan'!$D$329</f>
        <v>Introduce value between 0 and 10</v>
      </c>
      <c r="G92" s="107"/>
      <c r="H92" s="108" t="n">
        <v>1</v>
      </c>
      <c r="I92" s="109" t="n">
        <f aca="false">IFERROR(J92*H92/10,0)</f>
        <v>1.19047619047619</v>
      </c>
      <c r="J92" s="110" t="n">
        <f aca="false">IFERROR($J$90*K92/SUM($K$91:$K$92),0)</f>
        <v>11.9047619047619</v>
      </c>
      <c r="K92" s="1" t="n">
        <f aca="false">VLOOKUP(D92,$C$102:$E$106,3,FALSE())</f>
        <v>1</v>
      </c>
      <c r="L92" s="1" t="n">
        <f aca="false">VLOOKUP(O92,$C$102:$E$106,3,FALSE())</f>
        <v>1</v>
      </c>
      <c r="M92" s="1" t="n">
        <f aca="false">VLOOKUP(D92,$C$102:$E$106,3,FALSE())</f>
        <v>1</v>
      </c>
      <c r="N92" s="46" t="str">
        <f aca="false">IF(L92=M92,"",'12.lan'!$D$240&amp;VLOOKUP(L92,$C$102:$D$106,2,FALSE())&amp;" ("&amp;L92&amp;")")</f>
        <v/>
      </c>
      <c r="O92" s="1" t="n">
        <f aca="false">C104</f>
        <v>1</v>
      </c>
    </row>
    <row r="93" customFormat="false" ht="33.75" hidden="false" customHeight="true" outlineLevel="0" collapsed="false">
      <c r="A93" s="2"/>
      <c r="B93" s="118" t="s">
        <v>121</v>
      </c>
      <c r="C93" s="103" t="str">
        <f aca="false">'12.lan'!D192</f>
        <v>Negative aspect: lack of transparency and wilful misinformation</v>
      </c>
      <c r="D93" s="104"/>
      <c r="E93" s="113"/>
      <c r="F93" s="106" t="str">
        <f aca="false">'12.lan'!$D$330</f>
        <v>Introduce negative points between 0 and -200</v>
      </c>
      <c r="G93" s="107"/>
      <c r="H93" s="108"/>
      <c r="I93" s="109" t="n">
        <f aca="false">H93*J90/50</f>
        <v>0</v>
      </c>
      <c r="J93" s="110" t="n">
        <f aca="false">-200*J90/50</f>
        <v>-95.2380952380952</v>
      </c>
    </row>
    <row r="94" customFormat="false" ht="12.75" hidden="false" customHeight="true" outlineLevel="0" collapsed="false">
      <c r="A94" s="2"/>
      <c r="B94" s="27"/>
      <c r="C94" s="35"/>
      <c r="D94" s="64"/>
      <c r="E94" s="64"/>
      <c r="F94" s="27"/>
      <c r="G94" s="27"/>
      <c r="H94" s="64"/>
      <c r="I94" s="65"/>
      <c r="J94" s="66"/>
    </row>
    <row r="95" customFormat="false" ht="18.75" hidden="false" customHeight="true" outlineLevel="0" collapsed="false">
      <c r="A95" s="2"/>
      <c r="B95" s="130" t="str">
        <f aca="false">'12.lan'!D92</f>
        <v>Total Balance Score:</v>
      </c>
      <c r="C95" s="130"/>
      <c r="D95" s="130"/>
      <c r="E95" s="130"/>
      <c r="F95" s="130"/>
      <c r="G95" s="130"/>
      <c r="H95" s="131" t="n">
        <f aca="false">H4</f>
        <v>-0.389047619047619</v>
      </c>
      <c r="I95" s="132" t="n">
        <f aca="false">I4</f>
        <v>-389.047619047619</v>
      </c>
      <c r="J95" s="132" t="n">
        <f aca="false">J4</f>
        <v>1000</v>
      </c>
    </row>
    <row r="96" customFormat="false" ht="18" hidden="false" customHeight="true" outlineLevel="0" collapsed="false">
      <c r="A96" s="2"/>
      <c r="B96" s="130"/>
      <c r="C96" s="130"/>
      <c r="D96" s="130"/>
      <c r="E96" s="130"/>
      <c r="F96" s="130"/>
      <c r="G96" s="130"/>
      <c r="H96" s="131"/>
      <c r="I96" s="132"/>
      <c r="J96" s="132"/>
    </row>
    <row r="102" customFormat="false" ht="12.75" hidden="true" customHeight="true" outlineLevel="0" collapsed="false">
      <c r="B102" s="59" t="n">
        <v>2</v>
      </c>
      <c r="C102" s="60" t="n">
        <v>2</v>
      </c>
      <c r="D102" s="61" t="str">
        <f aca="false">'12.lan'!D97</f>
        <v>very high</v>
      </c>
      <c r="E102" s="62" t="n">
        <v>2</v>
      </c>
    </row>
    <row r="103" customFormat="false" ht="12.75" hidden="true" customHeight="true" outlineLevel="0" collapsed="false">
      <c r="B103" s="59" t="n">
        <v>1.5</v>
      </c>
      <c r="C103" s="60" t="n">
        <v>1.5</v>
      </c>
      <c r="D103" s="61" t="str">
        <f aca="false">'12.lan'!D98</f>
        <v>high</v>
      </c>
      <c r="E103" s="133" t="n">
        <v>1.5</v>
      </c>
    </row>
    <row r="104" customFormat="false" ht="12.75" hidden="true" customHeight="true" outlineLevel="0" collapsed="false">
      <c r="B104" s="59" t="n">
        <v>1</v>
      </c>
      <c r="C104" s="60" t="n">
        <v>1</v>
      </c>
      <c r="D104" s="61" t="str">
        <f aca="false">'12.lan'!D99</f>
        <v>medium</v>
      </c>
      <c r="E104" s="62" t="n">
        <v>1</v>
      </c>
    </row>
    <row r="105" customFormat="false" ht="12.75" hidden="true" customHeight="true" outlineLevel="0" collapsed="false">
      <c r="B105" s="59" t="n">
        <v>0.5</v>
      </c>
      <c r="C105" s="60" t="n">
        <v>0.5</v>
      </c>
      <c r="D105" s="61" t="str">
        <f aca="false">'12.lan'!D100</f>
        <v>low</v>
      </c>
      <c r="E105" s="133" t="n">
        <v>0.5</v>
      </c>
    </row>
    <row r="106" customFormat="false" ht="12.75" hidden="true" customHeight="true" outlineLevel="0" collapsed="false">
      <c r="B106" s="59" t="n">
        <v>0</v>
      </c>
      <c r="C106" s="60" t="n">
        <v>0</v>
      </c>
      <c r="D106" s="61" t="str">
        <f aca="false">'12.lan'!D101</f>
        <v>not applicable</v>
      </c>
      <c r="E106" s="62" t="n">
        <v>0</v>
      </c>
    </row>
    <row r="107" customFormat="false" ht="12.75" hidden="true" customHeight="true" outlineLevel="0" collapsed="false"/>
  </sheetData>
  <sheetProtection algorithmName="SHA-512" hashValue="fSKhYp56ukNZ8j0u7XpfG66hdiDhL12vD3F1ePGxFQmwLrjDBsHkeIkVhMN93NuNtD6wAEmjPf/9SnxZkpF4Ew==" saltValue="x4usen/Y5YE9vcmuR5lFsQ==" spinCount="100000" sheet="true" objects="true" scenarios="true"/>
  <mergeCells count="14">
    <mergeCell ref="B2:C2"/>
    <mergeCell ref="H2:J3"/>
    <mergeCell ref="B3:D4"/>
    <mergeCell ref="F4:F5"/>
    <mergeCell ref="H4:H5"/>
    <mergeCell ref="I4:I5"/>
    <mergeCell ref="J4:J5"/>
    <mergeCell ref="B5:D5"/>
    <mergeCell ref="B7:J7"/>
    <mergeCell ref="D8:E8"/>
    <mergeCell ref="B95:G96"/>
    <mergeCell ref="H95:H96"/>
    <mergeCell ref="I95:I96"/>
    <mergeCell ref="J95:J96"/>
  </mergeCells>
  <conditionalFormatting sqref="H4:H5">
    <cfRule type="cellIs" priority="2" operator="lessThan" aboveAverage="0" equalAverage="0" bottom="0" percent="0" rank="0" text="" dxfId="13">
      <formula>0</formula>
    </cfRule>
  </conditionalFormatting>
  <conditionalFormatting sqref="H10">
    <cfRule type="cellIs" priority="3" operator="lessThan" aboveAverage="0" equalAverage="0" bottom="0" percent="0" rank="0" text="" dxfId="14">
      <formula>0</formula>
    </cfRule>
  </conditionalFormatting>
  <conditionalFormatting sqref="H13">
    <cfRule type="cellIs" priority="4" operator="lessThan" aboveAverage="0" equalAverage="0" bottom="0" percent="0" rank="0" text="" dxfId="15">
      <formula>0</formula>
    </cfRule>
  </conditionalFormatting>
  <conditionalFormatting sqref="H17">
    <cfRule type="cellIs" priority="5" operator="lessThan" aboveAverage="0" equalAverage="0" bottom="0" percent="0" rank="0" text="" dxfId="16">
      <formula>0</formula>
    </cfRule>
  </conditionalFormatting>
  <conditionalFormatting sqref="H20">
    <cfRule type="cellIs" priority="6" operator="lessThan" aboveAverage="0" equalAverage="0" bottom="0" percent="0" rank="0" text="" dxfId="17">
      <formula>0</formula>
    </cfRule>
  </conditionalFormatting>
  <conditionalFormatting sqref="H28 H31 H35 H44 H49 H54 H59:H60 H64 H68 H72 H81 H86 H90 H76:H77 H38:H39 H23:H24">
    <cfRule type="cellIs" priority="7" operator="lessThan" aboveAverage="0" equalAverage="0" bottom="0" percent="0" rank="0" text="" dxfId="18">
      <formula>0</formula>
    </cfRule>
  </conditionalFormatting>
  <conditionalFormatting sqref="H95:H96">
    <cfRule type="cellIs" priority="8" operator="lessThan" aboveAverage="0" equalAverage="0" bottom="0" percent="0" rank="0" text="" dxfId="19">
      <formula>0</formula>
    </cfRule>
  </conditionalFormatting>
  <conditionalFormatting sqref="H9">
    <cfRule type="cellIs" priority="9" operator="lessThan" aboveAverage="0" equalAverage="0" bottom="0" percent="0" rank="0" text="" dxfId="20">
      <formula>0</formula>
    </cfRule>
  </conditionalFormatting>
  <dataValidations count="7">
    <dataValidation allowBlank="false" errorStyle="stop" operator="equal" promptTitle="Gewichtung" showDropDown="false" showErrorMessage="true" showInputMessage="true" sqref="D10 D13:D15 D17 D20:D22 D24:D28 D31:D33 D35 D39:D42 D44:D47 D49:D52 D54:D57 D60:D62 D64:D66 D68:D70 D72:D74 D77:D79 D81:D83 D86:D88 D90:D92" type="list">
      <formula1>$C$102:$C$106</formula1>
      <formula2>0</formula2>
    </dataValidation>
    <dataValidation allowBlank="false" errorStyle="stop" operator="equal" promptTitle="Gewichtung" showDropDown="false" showErrorMessage="true" showInputMessage="true" sqref="E10:E20 D11:D12 D16 D18:D19 E21:E22 E24:E28 D30:E30 E31:E37 D34 D36:D37 E39:E58 D43 D48 D53 D58 E60:E75 D63 D67 D71 D75 E77:E93 D80 D84:D85 D89 D93" type="none">
      <formula1>0</formula1>
      <formula2>0</formula2>
    </dataValidation>
    <dataValidation allowBlank="false" error="Value has to be between 0 and 10." errorStyle="stop" errorTitle="Value" operator="between" showDropDown="false" showErrorMessage="true" showInputMessage="true" sqref="H11 H14:H15 H18 H21:H22 H25:H27 H29 H32:H33 H36 H40:H42 H45:H47 H50:H52 H55:H57 H61:H62 H65:H66 H69:H70 H73:H74 H78:H79 H82:H83 H87:H88 H91:H92" type="decimal">
      <formula1>0</formula1>
      <formula2>10</formula2>
    </dataValidation>
    <dataValidation allowBlank="false" error="Value has to be between -200 and 0." errorStyle="stop" errorTitle="Value" operator="between" showDropDown="false" showErrorMessage="true" showInputMessage="true" sqref="H12 H16 H19 H30 H34 H37 H43 H48 H53 H58 H63 H67 H71 H75 H80 H84:H85 H89 H93" type="decimal">
      <formula1>-200</formula1>
      <formula2>0</formula2>
    </dataValidation>
    <dataValidation allowBlank="false" errorStyle="stop" operator="between" showDropDown="false" showErrorMessage="true" showInputMessage="true" sqref="D9" type="list">
      <formula1>C102:C106</formula1>
      <formula2>0</formula2>
    </dataValidation>
    <dataValidation allowBlank="false" errorStyle="stop" operator="between" showDropDown="false" showErrorMessage="true" showInputMessage="true" sqref="D23" type="list">
      <formula1>C102:C106</formula1>
      <formula2>0</formula2>
    </dataValidation>
    <dataValidation allowBlank="false" errorStyle="stop" operator="between" showDropDown="false" showErrorMessage="true" showInputMessage="true" sqref="D38 D59 D76" type="list">
      <formula1>$C$102:$C$106</formula1>
      <formula2>0</formula2>
    </dataValidation>
  </dataValidations>
  <printOptions headings="false" gridLines="false" gridLinesSet="true" horizontalCentered="false" verticalCentered="false"/>
  <pageMargins left="0.433333333333333" right="0.472222222222222" top="0.39375" bottom="0.39375" header="0.511811023622047" footer="0.511811023622047"/>
  <pageSetup paperSize="9" scale="100" fitToWidth="1" fitToHeight="15"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16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2" ySplit="9" topLeftCell="C49" activePane="bottomRight" state="frozen"/>
      <selection pane="topLeft" activeCell="A1" activeCellId="0" sqref="A1"/>
      <selection pane="topRight" activeCell="C1" activeCellId="0" sqref="C1"/>
      <selection pane="bottomLeft" activeCell="A49" activeCellId="0" sqref="A49"/>
      <selection pane="bottomRight" activeCell="D69" activeCellId="0" sqref="D69"/>
    </sheetView>
  </sheetViews>
  <sheetFormatPr defaultColWidth="10.2890625" defaultRowHeight="12" zeroHeight="false" outlineLevelRow="0" outlineLevelCol="0"/>
  <cols>
    <col collapsed="false" customWidth="true" hidden="false" outlineLevel="0" max="2" min="1" style="134" width="1.29"/>
    <col collapsed="false" customWidth="true" hidden="false" outlineLevel="0" max="4" min="3" style="134" width="2.28"/>
    <col collapsed="false" customWidth="true" hidden="false" outlineLevel="0" max="5" min="5" style="134" width="8.28"/>
    <col collapsed="false" customWidth="true" hidden="false" outlineLevel="0" max="6" min="6" style="134" width="40.85"/>
    <col collapsed="false" customWidth="true" hidden="false" outlineLevel="0" max="7" min="7" style="134" width="27.29"/>
    <col collapsed="false" customWidth="true" hidden="false" outlineLevel="0" max="8" min="8" style="134" width="17.28"/>
    <col collapsed="false" customWidth="true" hidden="false" outlineLevel="0" max="9" min="9" style="134" width="12.28"/>
    <col collapsed="false" customWidth="true" hidden="false" outlineLevel="0" max="10" min="10" style="134" width="36.28"/>
    <col collapsed="false" customWidth="true" hidden="false" outlineLevel="0" max="11" min="11" style="134" width="12.71"/>
    <col collapsed="false" customWidth="true" hidden="false" outlineLevel="0" max="12" min="12" style="134" width="3.28"/>
    <col collapsed="false" customWidth="true" hidden="false" outlineLevel="0" max="15" min="13" style="135" width="13.28"/>
    <col collapsed="false" customWidth="true" hidden="false" outlineLevel="0" max="16" min="16" style="135" width="14.28"/>
    <col collapsed="false" customWidth="true" hidden="false" outlineLevel="0" max="17" min="17" style="134" width="1.29"/>
    <col collapsed="false" customWidth="false" hidden="false" outlineLevel="0" max="18" min="18" style="134" width="10.28"/>
    <col collapsed="false" customWidth="false" hidden="false" outlineLevel="0" max="25" min="19" style="136" width="10.28"/>
    <col collapsed="false" customWidth="false" hidden="false" outlineLevel="0" max="1024" min="26" style="134" width="10.28"/>
  </cols>
  <sheetData>
    <row r="1" customFormat="false" ht="6.75" hidden="false" customHeight="true" outlineLevel="0" collapsed="false">
      <c r="A1" s="136"/>
      <c r="B1" s="136"/>
      <c r="C1" s="136"/>
      <c r="D1" s="136"/>
      <c r="E1" s="136"/>
      <c r="F1" s="136"/>
      <c r="G1" s="136"/>
      <c r="H1" s="136"/>
      <c r="I1" s="136"/>
      <c r="J1" s="136"/>
      <c r="K1" s="136"/>
      <c r="L1" s="136"/>
      <c r="M1" s="137"/>
      <c r="N1" s="137"/>
      <c r="O1" s="137"/>
      <c r="P1" s="137"/>
      <c r="Q1" s="136"/>
      <c r="R1" s="136"/>
    </row>
    <row r="2" customFormat="false" ht="7.5" hidden="false" customHeight="true" outlineLevel="0" collapsed="false">
      <c r="A2" s="136"/>
      <c r="B2" s="136"/>
      <c r="C2" s="136"/>
      <c r="D2" s="136"/>
      <c r="E2" s="136"/>
      <c r="F2" s="136"/>
      <c r="G2" s="136"/>
      <c r="H2" s="136"/>
      <c r="I2" s="136"/>
      <c r="J2" s="136"/>
      <c r="K2" s="136"/>
      <c r="L2" s="136"/>
      <c r="M2" s="137"/>
      <c r="N2" s="137"/>
      <c r="O2" s="137"/>
      <c r="P2" s="137"/>
      <c r="Q2" s="136"/>
      <c r="R2" s="136"/>
    </row>
    <row r="3" customFormat="false" ht="6.75" hidden="false" customHeight="true" outlineLevel="0" collapsed="false">
      <c r="A3" s="136"/>
      <c r="B3" s="138"/>
      <c r="C3" s="139"/>
      <c r="D3" s="140"/>
      <c r="E3" s="140"/>
      <c r="F3" s="140"/>
      <c r="G3" s="140"/>
      <c r="H3" s="140"/>
      <c r="I3" s="140"/>
      <c r="J3" s="140"/>
      <c r="K3" s="140"/>
      <c r="L3" s="140"/>
      <c r="M3" s="141"/>
      <c r="N3" s="141"/>
      <c r="O3" s="141"/>
      <c r="P3" s="141"/>
      <c r="Q3" s="142"/>
      <c r="R3" s="136"/>
    </row>
    <row r="4" customFormat="false" ht="42" hidden="false" customHeight="true" outlineLevel="0" collapsed="false">
      <c r="A4" s="136"/>
      <c r="B4" s="143"/>
      <c r="C4" s="144"/>
      <c r="D4" s="145"/>
      <c r="E4" s="146" t="s">
        <v>122</v>
      </c>
      <c r="F4" s="146"/>
      <c r="G4" s="146"/>
      <c r="H4" s="146"/>
      <c r="I4" s="146"/>
      <c r="J4" s="146"/>
      <c r="K4" s="147" t="s">
        <v>123</v>
      </c>
      <c r="L4" s="147"/>
      <c r="M4" s="148" t="s">
        <v>124</v>
      </c>
      <c r="N4" s="148" t="s">
        <v>125</v>
      </c>
      <c r="O4" s="148" t="s">
        <v>126</v>
      </c>
      <c r="P4" s="148" t="s">
        <v>127</v>
      </c>
      <c r="Q4" s="149"/>
      <c r="R4" s="136"/>
    </row>
    <row r="5" customFormat="false" ht="24.75" hidden="false" customHeight="true" outlineLevel="0" collapsed="false">
      <c r="A5" s="136"/>
      <c r="B5" s="150" t="s">
        <v>128</v>
      </c>
      <c r="C5" s="151"/>
      <c r="D5" s="150"/>
      <c r="E5" s="146"/>
      <c r="F5" s="146"/>
      <c r="G5" s="146"/>
      <c r="H5" s="146"/>
      <c r="I5" s="146"/>
      <c r="J5" s="146"/>
      <c r="K5" s="147"/>
      <c r="L5" s="147"/>
      <c r="M5" s="148"/>
      <c r="N5" s="148"/>
      <c r="O5" s="148"/>
      <c r="P5" s="148"/>
      <c r="Q5" s="149"/>
      <c r="R5" s="136"/>
    </row>
    <row r="6" customFormat="false" ht="12.75" hidden="false" customHeight="true" outlineLevel="0" collapsed="false">
      <c r="A6" s="136"/>
      <c r="B6" s="150" t="s">
        <v>129</v>
      </c>
      <c r="C6" s="151"/>
      <c r="D6" s="150"/>
      <c r="E6" s="146"/>
      <c r="F6" s="146"/>
      <c r="G6" s="146"/>
      <c r="H6" s="146"/>
      <c r="I6" s="146"/>
      <c r="J6" s="146"/>
      <c r="K6" s="147"/>
      <c r="L6" s="147"/>
      <c r="M6" s="148"/>
      <c r="N6" s="148"/>
      <c r="O6" s="148"/>
      <c r="P6" s="148"/>
      <c r="Q6" s="149"/>
      <c r="R6" s="136"/>
    </row>
    <row r="7" customFormat="false" ht="41.25" hidden="false" customHeight="true" outlineLevel="0" collapsed="false">
      <c r="A7" s="136"/>
      <c r="B7" s="150"/>
      <c r="C7" s="151"/>
      <c r="D7" s="150"/>
      <c r="E7" s="152"/>
      <c r="F7" s="153"/>
      <c r="G7" s="153"/>
      <c r="H7" s="154" t="s">
        <v>130</v>
      </c>
      <c r="I7" s="154"/>
      <c r="J7" s="155" t="s">
        <v>131</v>
      </c>
      <c r="K7" s="147"/>
      <c r="L7" s="147"/>
      <c r="M7" s="148"/>
      <c r="N7" s="148"/>
      <c r="O7" s="148"/>
      <c r="P7" s="148"/>
      <c r="Q7" s="149"/>
      <c r="R7" s="136"/>
    </row>
    <row r="8" customFormat="false" ht="57" hidden="false" customHeight="true" outlineLevel="0" collapsed="false">
      <c r="A8" s="136"/>
      <c r="B8" s="156"/>
      <c r="C8" s="157"/>
      <c r="D8" s="156"/>
      <c r="E8" s="158"/>
      <c r="F8" s="159" t="s">
        <v>132</v>
      </c>
      <c r="G8" s="159"/>
      <c r="H8" s="159"/>
      <c r="I8" s="159"/>
      <c r="J8" s="159"/>
      <c r="K8" s="160"/>
      <c r="L8" s="160"/>
      <c r="M8" s="148"/>
      <c r="N8" s="148"/>
      <c r="O8" s="148"/>
      <c r="P8" s="148"/>
      <c r="Q8" s="149"/>
      <c r="R8" s="136"/>
    </row>
    <row r="9" customFormat="false" ht="15" hidden="false" customHeight="true" outlineLevel="0" collapsed="false">
      <c r="A9" s="136"/>
      <c r="B9" s="156"/>
      <c r="C9" s="157"/>
      <c r="D9" s="156"/>
      <c r="E9" s="158"/>
      <c r="F9" s="161"/>
      <c r="G9" s="161"/>
      <c r="H9" s="161"/>
      <c r="I9" s="161"/>
      <c r="J9" s="161"/>
      <c r="K9" s="160"/>
      <c r="L9" s="160"/>
      <c r="M9" s="162" t="n">
        <f aca="false">M15+M23+M29+M36+M42</f>
        <v>238.095238095238</v>
      </c>
      <c r="N9" s="162" t="n">
        <f aca="false">N15+N23+N29+N36+N42</f>
        <v>309.52380952381</v>
      </c>
      <c r="O9" s="162" t="n">
        <f aca="false">O15+O23+O29+O36+O42</f>
        <v>297.619047619048</v>
      </c>
      <c r="P9" s="162" t="n">
        <f aca="false">P15+P23+P29+P36+P42</f>
        <v>154.761904761905</v>
      </c>
      <c r="Q9" s="149"/>
      <c r="R9" s="136"/>
    </row>
    <row r="10" customFormat="false" ht="21" hidden="false" customHeight="true" outlineLevel="0" collapsed="false">
      <c r="A10" s="136"/>
      <c r="B10" s="163"/>
      <c r="C10" s="164"/>
      <c r="D10" s="165"/>
      <c r="E10" s="166"/>
      <c r="F10" s="167" t="s">
        <v>133</v>
      </c>
      <c r="G10" s="167"/>
      <c r="H10" s="167"/>
      <c r="I10" s="168" t="n">
        <f aca="false">'2. Company Facts'!C7</f>
        <v>200000</v>
      </c>
      <c r="J10" s="169" t="s">
        <v>134</v>
      </c>
      <c r="K10" s="170" t="n">
        <f aca="false">K49</f>
        <v>0.5</v>
      </c>
      <c r="L10" s="171" t="n">
        <f aca="false">M15+N15+O15+P15</f>
        <v>95.2380952380952</v>
      </c>
      <c r="M10" s="172" t="s">
        <v>39</v>
      </c>
      <c r="N10" s="173" t="s">
        <v>42</v>
      </c>
      <c r="O10" s="173" t="s">
        <v>46</v>
      </c>
      <c r="P10" s="174" t="s">
        <v>49</v>
      </c>
      <c r="Q10" s="175"/>
      <c r="R10" s="136"/>
    </row>
    <row r="11" customFormat="false" ht="13.5" hidden="false" customHeight="true" outlineLevel="0" collapsed="false">
      <c r="A11" s="136"/>
      <c r="B11" s="163"/>
      <c r="C11" s="176"/>
      <c r="E11" s="177"/>
      <c r="F11" s="178"/>
      <c r="G11" s="178"/>
      <c r="H11" s="178"/>
      <c r="I11" s="178"/>
      <c r="J11" s="169"/>
      <c r="K11" s="169"/>
      <c r="L11" s="169"/>
      <c r="M11" s="172"/>
      <c r="N11" s="173"/>
      <c r="O11" s="173"/>
      <c r="P11" s="174"/>
      <c r="Q11" s="149"/>
      <c r="R11" s="136"/>
    </row>
    <row r="12" customFormat="false" ht="21.75" hidden="false" customHeight="true" outlineLevel="0" collapsed="false">
      <c r="A12" s="136"/>
      <c r="B12" s="163"/>
      <c r="C12" s="157"/>
      <c r="D12" s="156"/>
      <c r="E12" s="177" t="s">
        <v>135</v>
      </c>
      <c r="F12" s="179" t="s">
        <v>136</v>
      </c>
      <c r="G12" s="180" t="s">
        <v>137</v>
      </c>
      <c r="H12" s="180" t="s">
        <v>138</v>
      </c>
      <c r="I12" s="179" t="s">
        <v>139</v>
      </c>
      <c r="J12" s="169"/>
      <c r="K12" s="169"/>
      <c r="L12" s="169"/>
      <c r="M12" s="181"/>
      <c r="N12" s="182"/>
      <c r="O12" s="182"/>
      <c r="P12" s="183"/>
      <c r="Q12" s="149"/>
      <c r="R12" s="136"/>
    </row>
    <row r="13" customFormat="false" ht="15" hidden="false" customHeight="true" outlineLevel="0" collapsed="false">
      <c r="A13" s="136"/>
      <c r="B13" s="163"/>
      <c r="C13" s="157"/>
      <c r="D13" s="156"/>
      <c r="E13" s="177" t="str">
        <f aca="false">LEFT(F13,2)</f>
        <v>A </v>
      </c>
      <c r="F13" s="184" t="str">
        <f aca="false">'2. Company Facts'!B10</f>
        <v>A - Landwirtschaft, Forstwirtschaft und Fischerei</v>
      </c>
      <c r="G13" s="185" t="n">
        <f aca="false">'2. Company Facts'!C10</f>
        <v>0</v>
      </c>
      <c r="H13" s="185" t="str">
        <f aca="false">'2. Company Facts'!D10</f>
        <v>EGY Ägypten</v>
      </c>
      <c r="I13" s="186" t="n">
        <f aca="false">'2. Company Facts'!F10</f>
        <v>3388</v>
      </c>
      <c r="J13" s="169"/>
      <c r="K13" s="169"/>
      <c r="L13" s="169"/>
      <c r="M13" s="187"/>
      <c r="N13" s="188"/>
      <c r="O13" s="188"/>
      <c r="P13" s="189"/>
      <c r="Q13" s="149"/>
      <c r="R13" s="136"/>
    </row>
    <row r="14" customFormat="false" ht="15" hidden="false" customHeight="true" outlineLevel="0" collapsed="false">
      <c r="A14" s="136"/>
      <c r="B14" s="163"/>
      <c r="C14" s="190"/>
      <c r="D14" s="191"/>
      <c r="E14" s="177" t="str">
        <f aca="false">LEFT(F14,2)</f>
        <v>Ca</v>
      </c>
      <c r="F14" s="192" t="str">
        <f aca="false">'2. Company Facts'!B11</f>
        <v>Ca - Food production, drinks and tobacco (C10, C11, C12)</v>
      </c>
      <c r="G14" s="193" t="n">
        <f aca="false">'2. Company Facts'!C11</f>
        <v>0</v>
      </c>
      <c r="H14" s="193" t="str">
        <f aca="false">'2. Company Facts'!D11</f>
        <v>AFG Afghanistan</v>
      </c>
      <c r="I14" s="194" t="n">
        <f aca="false">'2. Company Facts'!F11</f>
        <v>654</v>
      </c>
      <c r="J14" s="169"/>
      <c r="K14" s="169"/>
      <c r="L14" s="169"/>
      <c r="M14" s="195" t="n">
        <f aca="false">'3. Calc'!D10</f>
        <v>1</v>
      </c>
      <c r="N14" s="196" t="n">
        <f aca="false">'3. Calc'!D13</f>
        <v>1</v>
      </c>
      <c r="O14" s="197" t="n">
        <f aca="false">'3. Calc'!D17</f>
        <v>1</v>
      </c>
      <c r="P14" s="198" t="n">
        <f aca="false">'3. Calc'!D20</f>
        <v>1</v>
      </c>
      <c r="Q14" s="199" t="n">
        <f aca="false">'11.Region'!U10</f>
        <v>0</v>
      </c>
      <c r="R14" s="136"/>
    </row>
    <row r="15" customFormat="false" ht="15" hidden="false" customHeight="true" outlineLevel="0" collapsed="false">
      <c r="A15" s="136"/>
      <c r="B15" s="191"/>
      <c r="C15" s="190"/>
      <c r="D15" s="191"/>
      <c r="E15" s="177" t="str">
        <f aca="false">LEFT(F15,2)</f>
        <v>A </v>
      </c>
      <c r="F15" s="200" t="str">
        <f aca="false">'2. Company Facts'!B12</f>
        <v>A - Landwirtschaft, Forstwirtschaft und Fischerei</v>
      </c>
      <c r="G15" s="193" t="n">
        <f aca="false">'2. Company Facts'!C12</f>
        <v>0</v>
      </c>
      <c r="H15" s="193" t="str">
        <f aca="false">'2. Company Facts'!D12</f>
        <v>DZA Algerien</v>
      </c>
      <c r="I15" s="194" t="n">
        <f aca="false">'2. Company Facts'!F12</f>
        <v>456</v>
      </c>
      <c r="J15" s="169"/>
      <c r="K15" s="169"/>
      <c r="L15" s="169"/>
      <c r="M15" s="201" t="n">
        <f aca="false">M49</f>
        <v>23.8095238095238</v>
      </c>
      <c r="N15" s="202" t="n">
        <f aca="false">N49</f>
        <v>23.8095238095238</v>
      </c>
      <c r="O15" s="202" t="n">
        <f aca="false">O49</f>
        <v>23.8095238095238</v>
      </c>
      <c r="P15" s="203" t="n">
        <f aca="false">P49</f>
        <v>23.8095238095238</v>
      </c>
      <c r="Q15" s="199"/>
      <c r="R15" s="136"/>
    </row>
    <row r="16" customFormat="false" ht="15" hidden="false" customHeight="true" outlineLevel="0" collapsed="false">
      <c r="A16" s="136"/>
      <c r="B16" s="150"/>
      <c r="C16" s="151"/>
      <c r="D16" s="150"/>
      <c r="E16" s="177" t="str">
        <f aca="false">LEFT(F16,2)</f>
        <v>A </v>
      </c>
      <c r="F16" s="200" t="str">
        <f aca="false">'2. Company Facts'!B13</f>
        <v>A - Landwirtschaft, Forstwirtschaft und Fischerei</v>
      </c>
      <c r="G16" s="193" t="n">
        <f aca="false">'2. Company Facts'!C13</f>
        <v>0</v>
      </c>
      <c r="H16" s="193" t="str">
        <f aca="false">'2. Company Facts'!D13</f>
        <v>BGD Bangladesch</v>
      </c>
      <c r="I16" s="194" t="n">
        <f aca="false">'2. Company Facts'!F13</f>
        <v>77</v>
      </c>
      <c r="J16" s="169"/>
      <c r="K16" s="169"/>
      <c r="L16" s="169"/>
      <c r="M16" s="204" t="n">
        <f aca="false">IF(G69="empty",1,'3. Calc'!C104)</f>
        <v>1</v>
      </c>
      <c r="N16" s="205" t="n">
        <f aca="false">IF(G69="empty",1,'3. Calc'!C104)</f>
        <v>1</v>
      </c>
      <c r="O16" s="205" t="n">
        <f aca="false">IF(G69="empty",1,IFERROR(IF('11.Region'!N8&gt;1.5,'3. Calc'!C102,IF('11.Region'!N8&gt;1.25,'3. Calc'!C103,IF('11.Region'!N8&lt;0.75,'3. Calc'!C105,'3. Calc'!C104))),'3. Calc'!C104))</f>
        <v>1</v>
      </c>
      <c r="P16" s="206" t="n">
        <f aca="false">IF(G69="empty",1,IF('11.Region'!I9&lt;1.5,'3. Calc'!C105,IF('11.Region'!I9&lt;3.26,'3. Calc'!C104,IF('11.Region'!I9&lt;4.5,'3. Calc'!C103,'3. Calc'!C102))))</f>
        <v>1</v>
      </c>
      <c r="Q16" s="199"/>
      <c r="R16" s="136"/>
    </row>
    <row r="17" customFormat="false" ht="15" hidden="false" customHeight="true" outlineLevel="0" collapsed="false">
      <c r="A17" s="136"/>
      <c r="B17" s="150"/>
      <c r="C17" s="151"/>
      <c r="D17" s="150"/>
      <c r="E17" s="177" t="str">
        <f aca="false">LEFT(F17,2)</f>
        <v>Pl</v>
      </c>
      <c r="F17" s="207" t="str">
        <f aca="false">'2. Company Facts'!B14</f>
        <v>Please enter</v>
      </c>
      <c r="G17" s="208" t="n">
        <f aca="false">'2. Company Facts'!C14</f>
        <v>0</v>
      </c>
      <c r="H17" s="193" t="n">
        <f aca="false">'2. Company Facts'!D14</f>
        <v>0</v>
      </c>
      <c r="I17" s="194" t="n">
        <f aca="false">'2. Company Facts'!F14</f>
        <v>0</v>
      </c>
      <c r="J17" s="169"/>
      <c r="K17" s="169"/>
      <c r="L17" s="169"/>
      <c r="M17" s="187"/>
      <c r="N17" s="188"/>
      <c r="O17" s="188"/>
      <c r="P17" s="189"/>
      <c r="Q17" s="199"/>
      <c r="R17" s="136"/>
    </row>
    <row r="18" customFormat="false" ht="15.75" hidden="false" customHeight="true" outlineLevel="0" collapsed="false">
      <c r="A18" s="136"/>
      <c r="B18" s="209"/>
      <c r="C18" s="210"/>
      <c r="D18" s="211"/>
      <c r="E18" s="212"/>
      <c r="F18" s="213" t="s">
        <v>140</v>
      </c>
      <c r="G18" s="213"/>
      <c r="H18" s="214" t="str">
        <f aca="false">'2. Company Facts'!D15</f>
        <v>QAT Katar</v>
      </c>
      <c r="I18" s="215" t="n">
        <f aca="false">'2. Company Facts'!F15</f>
        <v>195425</v>
      </c>
      <c r="J18" s="169"/>
      <c r="K18" s="169"/>
      <c r="L18" s="169"/>
      <c r="M18" s="216"/>
      <c r="N18" s="217"/>
      <c r="O18" s="217"/>
      <c r="P18" s="218"/>
      <c r="Q18" s="219"/>
      <c r="R18" s="136"/>
    </row>
    <row r="19" customFormat="false" ht="13.5" hidden="false" customHeight="true" outlineLevel="0" collapsed="false">
      <c r="A19" s="136"/>
      <c r="B19" s="191"/>
      <c r="C19" s="190"/>
      <c r="D19" s="191"/>
      <c r="E19" s="177"/>
      <c r="F19" s="220" t="s">
        <v>141</v>
      </c>
      <c r="G19" s="220"/>
      <c r="H19" s="220"/>
      <c r="I19" s="221" t="n">
        <f aca="false">'2. Company Facts'!C18</f>
        <v>456456456</v>
      </c>
      <c r="J19" s="222" t="s">
        <v>142</v>
      </c>
      <c r="K19" s="223" t="n">
        <f aca="false">K50</f>
        <v>2</v>
      </c>
      <c r="L19" s="171" t="n">
        <f aca="false">M23+N23+O23+P23</f>
        <v>428.571428571429</v>
      </c>
      <c r="M19" s="224" t="s">
        <v>53</v>
      </c>
      <c r="N19" s="225" t="s">
        <v>57</v>
      </c>
      <c r="O19" s="225" t="s">
        <v>60</v>
      </c>
      <c r="P19" s="226" t="s">
        <v>64</v>
      </c>
      <c r="Q19" s="199"/>
      <c r="R19" s="136"/>
    </row>
    <row r="20" customFormat="false" ht="15" hidden="false" customHeight="true" outlineLevel="0" collapsed="false">
      <c r="A20" s="136"/>
      <c r="B20" s="191"/>
      <c r="C20" s="190"/>
      <c r="D20" s="191"/>
      <c r="E20" s="177"/>
      <c r="F20" s="227" t="s">
        <v>143</v>
      </c>
      <c r="G20" s="227"/>
      <c r="H20" s="227"/>
      <c r="I20" s="228" t="n">
        <f aca="false">IFERROR(I19/I32,"-")</f>
        <v>3681100.4516129</v>
      </c>
      <c r="J20" s="222"/>
      <c r="K20" s="222"/>
      <c r="L20" s="222"/>
      <c r="M20" s="224"/>
      <c r="N20" s="225"/>
      <c r="O20" s="225"/>
      <c r="P20" s="226"/>
      <c r="Q20" s="199"/>
      <c r="R20" s="136"/>
    </row>
    <row r="21" customFormat="false" ht="15" hidden="false" customHeight="true" outlineLevel="0" collapsed="false">
      <c r="A21" s="136"/>
      <c r="B21" s="191"/>
      <c r="C21" s="190"/>
      <c r="D21" s="191"/>
      <c r="E21" s="177"/>
      <c r="F21" s="229" t="s">
        <v>144</v>
      </c>
      <c r="G21" s="229"/>
      <c r="H21" s="229"/>
      <c r="I21" s="230" t="n">
        <f aca="false">'2. Company Facts'!C19</f>
        <v>266</v>
      </c>
      <c r="J21" s="222"/>
      <c r="K21" s="222"/>
      <c r="L21" s="222"/>
      <c r="M21" s="181"/>
      <c r="N21" s="182"/>
      <c r="O21" s="182"/>
      <c r="P21" s="183"/>
      <c r="Q21" s="199"/>
      <c r="R21" s="136"/>
    </row>
    <row r="22" customFormat="false" ht="15" hidden="false" customHeight="true" outlineLevel="0" collapsed="false">
      <c r="A22" s="136"/>
      <c r="B22" s="143"/>
      <c r="C22" s="231"/>
      <c r="D22" s="143"/>
      <c r="E22" s="232" t="n">
        <f aca="false">IFERROR((G24+I24)/I23,0.2)</f>
        <v>1.69047619047619</v>
      </c>
      <c r="F22" s="233" t="s">
        <v>145</v>
      </c>
      <c r="G22" s="234" t="s">
        <v>146</v>
      </c>
      <c r="H22" s="234"/>
      <c r="I22" s="235" t="n">
        <f aca="false">'2. Company Facts'!C20</f>
        <v>500</v>
      </c>
      <c r="J22" s="222"/>
      <c r="K22" s="222"/>
      <c r="L22" s="222"/>
      <c r="M22" s="236" t="n">
        <f aca="false">'3. Calc'!D24</f>
        <v>1</v>
      </c>
      <c r="N22" s="237" t="n">
        <f aca="false">'3. Calc'!D28</f>
        <v>1.5</v>
      </c>
      <c r="O22" s="237" t="n">
        <f aca="false">'3. Calc'!D31</f>
        <v>1.5</v>
      </c>
      <c r="P22" s="238" t="n">
        <f aca="false">'3. Calc'!D35</f>
        <v>0.5</v>
      </c>
      <c r="Q22" s="239"/>
      <c r="R22" s="136"/>
    </row>
    <row r="23" customFormat="false" ht="15" hidden="false" customHeight="true" outlineLevel="0" collapsed="false">
      <c r="A23" s="136"/>
      <c r="B23" s="143"/>
      <c r="C23" s="231"/>
      <c r="D23" s="143"/>
      <c r="E23" s="240" t="n">
        <f aca="false">IFERROR(I32/I23,0.3)</f>
        <v>0.295238095238095</v>
      </c>
      <c r="F23" s="233" t="s">
        <v>147</v>
      </c>
      <c r="G23" s="229" t="s">
        <v>148</v>
      </c>
      <c r="H23" s="229"/>
      <c r="I23" s="241" t="n">
        <f aca="false">'2. Company Facts'!C21</f>
        <v>420</v>
      </c>
      <c r="J23" s="222"/>
      <c r="K23" s="222"/>
      <c r="L23" s="222"/>
      <c r="M23" s="201" t="n">
        <f aca="false">M50</f>
        <v>95.2380952380952</v>
      </c>
      <c r="N23" s="202" t="n">
        <f aca="false">N50</f>
        <v>142.857142857143</v>
      </c>
      <c r="O23" s="202" t="n">
        <f aca="false">O50</f>
        <v>142.857142857143</v>
      </c>
      <c r="P23" s="203" t="n">
        <f aca="false">P50</f>
        <v>47.6190476190476</v>
      </c>
      <c r="Q23" s="239"/>
      <c r="R23" s="136"/>
    </row>
    <row r="24" customFormat="false" ht="15.75" hidden="false" customHeight="true" outlineLevel="0" collapsed="false">
      <c r="A24" s="136"/>
      <c r="B24" s="242"/>
      <c r="C24" s="243"/>
      <c r="D24" s="244"/>
      <c r="E24" s="212"/>
      <c r="F24" s="245" t="s">
        <v>149</v>
      </c>
      <c r="G24" s="221" t="n">
        <f aca="false">'2. Company Facts'!C22</f>
        <v>400</v>
      </c>
      <c r="H24" s="245" t="s">
        <v>150</v>
      </c>
      <c r="I24" s="246" t="n">
        <f aca="false">'2. Company Facts'!C23</f>
        <v>310</v>
      </c>
      <c r="J24" s="222"/>
      <c r="K24" s="222"/>
      <c r="L24" s="222"/>
      <c r="M24" s="247" t="n">
        <f aca="false">IF(G69="empty",1,IFERROR(IF(H35='10. Industry'!A22,'3. Calc'!C102,IF(E23&lt;0.1,'3. Calc'!C103,IF(E23&gt;0.5,'3. Calc'!C105,'3. Calc'!C104))),'3. Calc'!C104))</f>
        <v>1</v>
      </c>
      <c r="N24" s="248" t="n">
        <f aca="false">IF(G69="empty",1,IFERROR(IF(I20="-",'3. Calc'!C104,IF(I20&gt;0.1,'3. Calc'!C103,IF(I20&lt;0.001,'3. Calc'!C106,IF(I20&lt;0.03,'3. Calc'!C105,'3. Calc'!C104)))),'3. Calc'!C104))</f>
        <v>1.5</v>
      </c>
      <c r="O24" s="248" t="n">
        <f aca="false">IF(G69="empty",1,IFERROR(IF(H35='10. Industry'!A22,'3. Calc'!C102,IF(E22&lt;0.1,'3. Calc'!C105,IF(E22&gt;0.25,'3. Calc'!C103,'3. Calc'!C104))),'3. Calc'!C104))</f>
        <v>1.5</v>
      </c>
      <c r="P24" s="249" t="n">
        <f aca="false">IF(G69="empty",1,IF(H39='12.lan'!D324,'3. Calc'!C105,'3. Calc'!C104))</f>
        <v>0.5</v>
      </c>
      <c r="Q24" s="250"/>
      <c r="R24" s="136"/>
    </row>
    <row r="25" customFormat="false" ht="12" hidden="false" customHeight="true" outlineLevel="0" collapsed="false">
      <c r="A25" s="136"/>
      <c r="B25" s="242"/>
      <c r="C25" s="251"/>
      <c r="D25" s="252"/>
      <c r="E25" s="177"/>
      <c r="F25" s="220" t="s">
        <v>151</v>
      </c>
      <c r="G25" s="220"/>
      <c r="H25" s="220"/>
      <c r="I25" s="253" t="n">
        <f aca="false">'2. Company Facts'!C27</f>
        <v>5501</v>
      </c>
      <c r="J25" s="222" t="s">
        <v>152</v>
      </c>
      <c r="K25" s="223" t="n">
        <f aca="false">K51</f>
        <v>0.5</v>
      </c>
      <c r="L25" s="171" t="n">
        <f aca="false">M29+N29+O29+P29</f>
        <v>95.2380952380952</v>
      </c>
      <c r="M25" s="254" t="s">
        <v>68</v>
      </c>
      <c r="N25" s="255" t="s">
        <v>73</v>
      </c>
      <c r="O25" s="225" t="s">
        <v>78</v>
      </c>
      <c r="P25" s="226" t="s">
        <v>83</v>
      </c>
      <c r="Q25" s="239"/>
      <c r="R25" s="136"/>
    </row>
    <row r="26" customFormat="false" ht="15" hidden="false" customHeight="true" outlineLevel="0" collapsed="false">
      <c r="A26" s="136"/>
      <c r="B26" s="242"/>
      <c r="C26" s="251"/>
      <c r="D26" s="252"/>
      <c r="E26" s="177"/>
      <c r="F26" s="229" t="s">
        <v>153</v>
      </c>
      <c r="G26" s="229"/>
      <c r="H26" s="229"/>
      <c r="I26" s="256" t="n">
        <f aca="false">'2. Company Facts'!C26</f>
        <v>5</v>
      </c>
      <c r="J26" s="222"/>
      <c r="K26" s="222"/>
      <c r="L26" s="222"/>
      <c r="M26" s="254"/>
      <c r="N26" s="255"/>
      <c r="O26" s="255"/>
      <c r="P26" s="226"/>
      <c r="Q26" s="239"/>
      <c r="R26" s="136"/>
    </row>
    <row r="27" customFormat="false" ht="12" hidden="false" customHeight="true" outlineLevel="0" collapsed="false">
      <c r="A27" s="136"/>
      <c r="B27" s="242"/>
      <c r="C27" s="251"/>
      <c r="D27" s="252"/>
      <c r="E27" s="177"/>
      <c r="F27" s="257"/>
      <c r="G27" s="229" t="s">
        <v>154</v>
      </c>
      <c r="H27" s="258" t="str">
        <f aca="false">'2. Company Facts'!B30</f>
        <v>ETH Äthiopien</v>
      </c>
      <c r="I27" s="259" t="n">
        <f aca="false">'2. Company Facts'!D30</f>
        <v>0.46</v>
      </c>
      <c r="J27" s="222"/>
      <c r="K27" s="222"/>
      <c r="L27" s="222"/>
      <c r="M27" s="181"/>
      <c r="N27" s="182"/>
      <c r="O27" s="182"/>
      <c r="P27" s="183"/>
      <c r="Q27" s="239"/>
      <c r="R27" s="136"/>
    </row>
    <row r="28" customFormat="false" ht="15" hidden="false" customHeight="true" outlineLevel="0" collapsed="false">
      <c r="A28" s="136"/>
      <c r="B28" s="150"/>
      <c r="C28" s="231"/>
      <c r="D28" s="143"/>
      <c r="E28" s="177"/>
      <c r="F28" s="257"/>
      <c r="G28" s="229" t="s">
        <v>155</v>
      </c>
      <c r="H28" s="260" t="str">
        <f aca="false">'2. Company Facts'!B31</f>
        <v>BHR Bahrain</v>
      </c>
      <c r="I28" s="261" t="n">
        <f aca="false">'2. Company Facts'!D31</f>
        <v>0.11</v>
      </c>
      <c r="J28" s="222"/>
      <c r="K28" s="222"/>
      <c r="L28" s="222"/>
      <c r="M28" s="236" t="n">
        <f aca="false">'3. Calc'!D39</f>
        <v>1</v>
      </c>
      <c r="N28" s="237" t="n">
        <f aca="false">'3. Calc'!D44</f>
        <v>1</v>
      </c>
      <c r="O28" s="237" t="n">
        <f aca="false">'3. Calc'!D49</f>
        <v>1.5</v>
      </c>
      <c r="P28" s="238" t="n">
        <f aca="false">'3. Calc'!D54</f>
        <v>0.5</v>
      </c>
      <c r="Q28" s="239"/>
      <c r="R28" s="136"/>
    </row>
    <row r="29" customFormat="false" ht="15" hidden="false" customHeight="true" outlineLevel="0" collapsed="false">
      <c r="A29" s="136"/>
      <c r="B29" s="150"/>
      <c r="C29" s="231"/>
      <c r="D29" s="143"/>
      <c r="E29" s="177"/>
      <c r="F29" s="257"/>
      <c r="G29" s="229" t="s">
        <v>155</v>
      </c>
      <c r="H29" s="262" t="n">
        <f aca="false">'2. Company Facts'!B32</f>
        <v>0</v>
      </c>
      <c r="I29" s="263" t="n">
        <f aca="false">'2. Company Facts'!D32</f>
        <v>0</v>
      </c>
      <c r="J29" s="222"/>
      <c r="K29" s="222"/>
      <c r="L29" s="222"/>
      <c r="M29" s="201" t="n">
        <f aca="false">M51</f>
        <v>23.8095238095238</v>
      </c>
      <c r="N29" s="202" t="n">
        <f aca="false">N51</f>
        <v>23.8095238095238</v>
      </c>
      <c r="O29" s="202" t="n">
        <f aca="false">O51</f>
        <v>35.7142857142857</v>
      </c>
      <c r="P29" s="203" t="n">
        <f aca="false">P51</f>
        <v>11.9047619047619</v>
      </c>
      <c r="Q29" s="239"/>
      <c r="R29" s="136"/>
    </row>
    <row r="30" customFormat="false" ht="15" hidden="false" customHeight="true" outlineLevel="0" collapsed="false">
      <c r="A30" s="136"/>
      <c r="B30" s="150"/>
      <c r="C30" s="231"/>
      <c r="D30" s="143"/>
      <c r="E30" s="177"/>
      <c r="F30" s="229" t="s">
        <v>156</v>
      </c>
      <c r="G30" s="229"/>
      <c r="H30" s="229"/>
      <c r="I30" s="264" t="n">
        <f aca="false">'2. Company Facts'!C33</f>
        <v>456456</v>
      </c>
      <c r="J30" s="222"/>
      <c r="K30" s="222"/>
      <c r="L30" s="222"/>
      <c r="M30" s="204" t="n">
        <f aca="false">IF(G69="empty",1,'3. Calc'!C104)</f>
        <v>1</v>
      </c>
      <c r="N30" s="204" t="n">
        <f aca="false">IF(G69="empty",1,'3. Calc'!C104)</f>
        <v>1</v>
      </c>
      <c r="O30" s="205" t="n">
        <f aca="false">IF(G69="empty",1,IF(AND(I31='12.lan'!D53,I30&lt;10),'3. Calc'!C105,IF(I30&gt;25,'3. Calc'!C103,'3. Calc'!C104)))</f>
        <v>1.5</v>
      </c>
      <c r="P30" s="206" t="n">
        <f aca="false">IF(G69="empty",1,IF(I26=1,'3. Calc'!C106,IF(H39='12.lan'!D324,'3. Calc'!C105,IF('11.Region'!I14&gt;3.25,'3. Calc'!C103,'3. Calc'!C104))))</f>
        <v>0.5</v>
      </c>
      <c r="Q30" s="239"/>
      <c r="R30" s="136"/>
    </row>
    <row r="31" customFormat="false" ht="15.75" hidden="false" customHeight="true" outlineLevel="0" collapsed="false">
      <c r="A31" s="136"/>
      <c r="B31" s="242"/>
      <c r="C31" s="243"/>
      <c r="D31" s="244"/>
      <c r="E31" s="212"/>
      <c r="F31" s="265" t="s">
        <v>157</v>
      </c>
      <c r="G31" s="265"/>
      <c r="H31" s="265"/>
      <c r="I31" s="266" t="str">
        <f aca="false">'2. Company Facts'!C34</f>
        <v>no</v>
      </c>
      <c r="J31" s="222"/>
      <c r="K31" s="222"/>
      <c r="L31" s="222"/>
      <c r="M31" s="216"/>
      <c r="N31" s="217"/>
      <c r="O31" s="217"/>
      <c r="P31" s="218"/>
      <c r="Q31" s="250"/>
      <c r="R31" s="136"/>
    </row>
    <row r="32" customFormat="false" ht="12.75" hidden="false" customHeight="true" outlineLevel="0" collapsed="false">
      <c r="A32" s="136"/>
      <c r="B32" s="242"/>
      <c r="C32" s="251"/>
      <c r="D32" s="252"/>
      <c r="E32" s="177"/>
      <c r="F32" s="267" t="s">
        <v>158</v>
      </c>
      <c r="G32" s="267"/>
      <c r="H32" s="267"/>
      <c r="I32" s="268" t="n">
        <f aca="false">'2. Company Facts'!C37</f>
        <v>124</v>
      </c>
      <c r="J32" s="222" t="s">
        <v>159</v>
      </c>
      <c r="K32" s="223" t="n">
        <v>1</v>
      </c>
      <c r="L32" s="171" t="n">
        <f aca="false">M36+N36+O36+P36</f>
        <v>190.47619047619</v>
      </c>
      <c r="M32" s="269" t="s">
        <v>89</v>
      </c>
      <c r="N32" s="270" t="s">
        <v>93</v>
      </c>
      <c r="O32" s="173" t="s">
        <v>97</v>
      </c>
      <c r="P32" s="174" t="s">
        <v>101</v>
      </c>
      <c r="Q32" s="239"/>
      <c r="R32" s="136"/>
    </row>
    <row r="33" customFormat="false" ht="15" hidden="false" customHeight="true" outlineLevel="0" collapsed="false">
      <c r="A33" s="136"/>
      <c r="B33" s="242"/>
      <c r="C33" s="251"/>
      <c r="D33" s="252"/>
      <c r="E33" s="177"/>
      <c r="F33" s="178"/>
      <c r="G33" s="178"/>
      <c r="H33" s="178" t="s">
        <v>160</v>
      </c>
      <c r="I33" s="271" t="str">
        <f aca="false">'2. Company Facts'!C38</f>
        <v>ja</v>
      </c>
      <c r="J33" s="222"/>
      <c r="K33" s="222"/>
      <c r="L33" s="222"/>
      <c r="M33" s="269"/>
      <c r="N33" s="270"/>
      <c r="O33" s="270"/>
      <c r="P33" s="174"/>
      <c r="Q33" s="239"/>
      <c r="R33" s="136"/>
    </row>
    <row r="34" customFormat="false" ht="23.25" hidden="false" customHeight="true" outlineLevel="0" collapsed="false">
      <c r="A34" s="136"/>
      <c r="B34" s="242"/>
      <c r="C34" s="251"/>
      <c r="D34" s="252"/>
      <c r="E34" s="177"/>
      <c r="F34" s="179" t="s">
        <v>136</v>
      </c>
      <c r="G34" s="179" t="s">
        <v>137</v>
      </c>
      <c r="H34" s="272" t="s">
        <v>161</v>
      </c>
      <c r="I34" s="273" t="s">
        <v>162</v>
      </c>
      <c r="J34" s="222"/>
      <c r="K34" s="222"/>
      <c r="L34" s="222"/>
      <c r="M34" s="181"/>
      <c r="N34" s="182"/>
      <c r="O34" s="182"/>
      <c r="P34" s="183"/>
      <c r="Q34" s="239"/>
      <c r="R34" s="136"/>
    </row>
    <row r="35" customFormat="false" ht="15" hidden="false" customHeight="true" outlineLevel="0" collapsed="false">
      <c r="A35" s="136"/>
      <c r="B35" s="242"/>
      <c r="C35" s="251"/>
      <c r="D35" s="252"/>
      <c r="E35" s="177"/>
      <c r="F35" s="274" t="str">
        <f aca="false">'2. Company Facts'!B41</f>
        <v>J - Information und Kommunikation</v>
      </c>
      <c r="G35" s="275" t="n">
        <f aca="false">'2. Company Facts'!C41</f>
        <v>0</v>
      </c>
      <c r="H35" s="272" t="str">
        <f aca="false">LEFT(F35,2)</f>
        <v>J </v>
      </c>
      <c r="I35" s="276" t="n">
        <f aca="false">'2. Company Facts'!D41</f>
        <v>0.87</v>
      </c>
      <c r="J35" s="222"/>
      <c r="K35" s="222"/>
      <c r="L35" s="222"/>
      <c r="M35" s="236" t="n">
        <f aca="false">'3. Calc'!D60</f>
        <v>1</v>
      </c>
      <c r="N35" s="237" t="n">
        <f aca="false">'3. Calc'!D64</f>
        <v>1</v>
      </c>
      <c r="O35" s="237" t="n">
        <f aca="false">'3. Calc'!D68</f>
        <v>1</v>
      </c>
      <c r="P35" s="238" t="n">
        <f aca="false">'3. Calc'!D72</f>
        <v>1</v>
      </c>
      <c r="Q35" s="239"/>
      <c r="R35" s="136"/>
    </row>
    <row r="36" customFormat="false" ht="15" hidden="false" customHeight="true" outlineLevel="0" collapsed="false">
      <c r="A36" s="136"/>
      <c r="B36" s="242"/>
      <c r="C36" s="251"/>
      <c r="D36" s="252"/>
      <c r="E36" s="177"/>
      <c r="F36" s="277" t="str">
        <f aca="false">'2. Company Facts'!B42</f>
        <v>Ce - Pharmaceutical products and preparations (C21)</v>
      </c>
      <c r="G36" s="278" t="str">
        <f aca="false">'2. Company Facts'!C42</f>
        <v>abc</v>
      </c>
      <c r="H36" s="272" t="str">
        <f aca="false">LEFT(F36,2)</f>
        <v>Ce</v>
      </c>
      <c r="I36" s="279" t="n">
        <f aca="false">'2. Company Facts'!D42</f>
        <v>0.13</v>
      </c>
      <c r="J36" s="222"/>
      <c r="K36" s="222"/>
      <c r="L36" s="222"/>
      <c r="M36" s="201" t="n">
        <f aca="false">M52</f>
        <v>47.6190476190476</v>
      </c>
      <c r="N36" s="202" t="n">
        <f aca="false">N52</f>
        <v>47.6190476190476</v>
      </c>
      <c r="O36" s="202" t="n">
        <f aca="false">O52</f>
        <v>47.6190476190476</v>
      </c>
      <c r="P36" s="203" t="n">
        <f aca="false">P52</f>
        <v>47.6190476190476</v>
      </c>
      <c r="Q36" s="239"/>
      <c r="R36" s="136"/>
    </row>
    <row r="37" customFormat="false" ht="15.75" hidden="false" customHeight="true" outlineLevel="0" collapsed="false">
      <c r="A37" s="136"/>
      <c r="B37" s="280"/>
      <c r="C37" s="281"/>
      <c r="D37" s="282"/>
      <c r="E37" s="212"/>
      <c r="F37" s="283" t="str">
        <f aca="false">'2. Company Facts'!B43</f>
        <v>Please enter</v>
      </c>
      <c r="G37" s="284" t="n">
        <f aca="false">'2. Company Facts'!C43</f>
        <v>0</v>
      </c>
      <c r="H37" s="272" t="str">
        <f aca="false">LEFT(F37,2)</f>
        <v>Pl</v>
      </c>
      <c r="I37" s="285" t="n">
        <f aca="false">'2. Company Facts'!D43</f>
        <v>0</v>
      </c>
      <c r="J37" s="222"/>
      <c r="K37" s="222"/>
      <c r="L37" s="222"/>
      <c r="M37" s="247" t="n">
        <f aca="false">IF(G69="empty",1,'3. Calc'!C104)</f>
        <v>1</v>
      </c>
      <c r="N37" s="247" t="n">
        <f aca="false">IF(G69="empty",1,'3. Calc'!C104)</f>
        <v>1</v>
      </c>
      <c r="O37" s="248" t="n">
        <f aca="false">IF(G69="empty",1,VLOOKUP(S37,'3. Calc'!$B$102:$C$106,2,FALSE()))</f>
        <v>1</v>
      </c>
      <c r="P37" s="249" t="n">
        <f aca="false">IF(G69="empty",1,IFERROR(IF(I33='12.lan'!D52,'3. Calc'!C103,'3. Calc'!C104),'3. Calc'!C104))</f>
        <v>1</v>
      </c>
      <c r="Q37" s="250"/>
      <c r="R37" s="136"/>
      <c r="S37" s="286" t="n">
        <f aca="false">VLOOKUP('10. Industry'!J39,F49:H53,3,FALSE())</f>
        <v>1</v>
      </c>
    </row>
    <row r="38" customFormat="false" ht="20.25" hidden="false" customHeight="true" outlineLevel="0" collapsed="false">
      <c r="A38" s="136"/>
      <c r="B38" s="280"/>
      <c r="C38" s="287"/>
      <c r="D38" s="280"/>
      <c r="E38" s="177"/>
      <c r="F38" s="177"/>
      <c r="G38" s="177"/>
      <c r="H38" s="177"/>
      <c r="I38" s="177"/>
      <c r="J38" s="169" t="s">
        <v>163</v>
      </c>
      <c r="K38" s="288" t="n">
        <v>1</v>
      </c>
      <c r="L38" s="171" t="n">
        <f aca="false">M42+N42+O42+P42</f>
        <v>190.47619047619</v>
      </c>
      <c r="M38" s="254" t="s">
        <v>105</v>
      </c>
      <c r="N38" s="225" t="s">
        <v>109</v>
      </c>
      <c r="O38" s="225" t="s">
        <v>114</v>
      </c>
      <c r="P38" s="226" t="s">
        <v>118</v>
      </c>
      <c r="Q38" s="239"/>
      <c r="R38" s="136"/>
    </row>
    <row r="39" customFormat="false" ht="20.25" hidden="false" customHeight="true" outlineLevel="0" collapsed="false">
      <c r="A39" s="136"/>
      <c r="B39" s="280"/>
      <c r="C39" s="287"/>
      <c r="D39" s="280"/>
      <c r="E39" s="177"/>
      <c r="F39" s="177"/>
      <c r="G39" s="177"/>
      <c r="H39" s="177" t="str">
        <f aca="false">IF(AND(I26&lt;10,OR(I32&lt;=2000000,I23&lt;=2000000)),'12.lan'!D324,IF(AND(I26&lt;50,OR(I32&lt;=10000000,I23&lt;=10000000)),'12.lan'!D325,IF(AND(I26&lt;250,OR(I32&lt;=50000000,I23&lt;=43000000)),'12.lan'!D326,'12.lan'!D327)))</f>
        <v>Micro-business</v>
      </c>
      <c r="I39" s="177"/>
      <c r="J39" s="169"/>
      <c r="K39" s="169"/>
      <c r="L39" s="169"/>
      <c r="M39" s="254"/>
      <c r="N39" s="225"/>
      <c r="O39" s="225"/>
      <c r="P39" s="226"/>
      <c r="Q39" s="239"/>
      <c r="R39" s="136"/>
    </row>
    <row r="40" customFormat="false" ht="15" hidden="false" customHeight="true" outlineLevel="0" collapsed="false">
      <c r="A40" s="136"/>
      <c r="B40" s="280"/>
      <c r="C40" s="287"/>
      <c r="D40" s="280"/>
      <c r="E40" s="177"/>
      <c r="F40" s="177" t="s">
        <v>164</v>
      </c>
      <c r="G40" s="177"/>
      <c r="H40" s="177" t="n">
        <f aca="false">IF(AND(I26=0,I32=0,I23=0),'12.lan'!E326)</f>
        <v>0</v>
      </c>
      <c r="I40" s="177"/>
      <c r="J40" s="169"/>
      <c r="K40" s="169"/>
      <c r="L40" s="169"/>
      <c r="M40" s="181"/>
      <c r="N40" s="181"/>
      <c r="O40" s="181"/>
      <c r="P40" s="183"/>
      <c r="Q40" s="239"/>
      <c r="R40" s="136"/>
    </row>
    <row r="41" customFormat="false" ht="14.25" hidden="false" customHeight="true" outlineLevel="0" collapsed="false">
      <c r="A41" s="136"/>
      <c r="B41" s="280"/>
      <c r="C41" s="287"/>
      <c r="D41" s="280"/>
      <c r="E41" s="177"/>
      <c r="F41" s="177"/>
      <c r="G41" s="177"/>
      <c r="H41" s="177"/>
      <c r="I41" s="177"/>
      <c r="J41" s="169"/>
      <c r="K41" s="169"/>
      <c r="L41" s="169"/>
      <c r="M41" s="236" t="n">
        <f aca="false">'3. Calc'!D77</f>
        <v>1</v>
      </c>
      <c r="N41" s="237" t="n">
        <f aca="false">'3. Calc'!D81</f>
        <v>1.5</v>
      </c>
      <c r="O41" s="237" t="n">
        <f aca="false">'3. Calc'!D86</f>
        <v>1</v>
      </c>
      <c r="P41" s="238" t="n">
        <f aca="false">'3. Calc'!D90</f>
        <v>0.5</v>
      </c>
      <c r="Q41" s="239"/>
      <c r="R41" s="136"/>
    </row>
    <row r="42" customFormat="false" ht="15.75" hidden="false" customHeight="true" outlineLevel="0" collapsed="false">
      <c r="A42" s="136"/>
      <c r="B42" s="280"/>
      <c r="C42" s="281"/>
      <c r="D42" s="282"/>
      <c r="E42" s="212"/>
      <c r="F42" s="212"/>
      <c r="G42" s="212"/>
      <c r="H42" s="212"/>
      <c r="I42" s="212"/>
      <c r="J42" s="169"/>
      <c r="K42" s="169"/>
      <c r="L42" s="169"/>
      <c r="M42" s="289" t="n">
        <f aca="false">M53</f>
        <v>47.6190476190476</v>
      </c>
      <c r="N42" s="290" t="n">
        <f aca="false">N53</f>
        <v>71.4285714285714</v>
      </c>
      <c r="O42" s="290" t="n">
        <f aca="false">O53</f>
        <v>47.6190476190476</v>
      </c>
      <c r="P42" s="291" t="n">
        <f aca="false">P53</f>
        <v>23.8095238095238</v>
      </c>
      <c r="Q42" s="250"/>
      <c r="R42" s="136"/>
    </row>
    <row r="43" customFormat="false" ht="12.75" hidden="false" customHeight="true" outlineLevel="0" collapsed="false">
      <c r="A43" s="136"/>
      <c r="B43" s="136"/>
      <c r="C43" s="136"/>
      <c r="D43" s="136"/>
      <c r="E43" s="136"/>
      <c r="F43" s="136"/>
      <c r="G43" s="136"/>
      <c r="H43" s="136"/>
      <c r="I43" s="136"/>
      <c r="J43" s="136"/>
      <c r="K43" s="136"/>
      <c r="L43" s="136"/>
      <c r="M43" s="292" t="n">
        <f aca="false">IF(G69="empty",1,'3. Calc'!C104)</f>
        <v>1</v>
      </c>
      <c r="N43" s="292" t="n">
        <f aca="false">IF(G69="empty",1,IF(I20="-",'3. Calc'!C104,IF(I20&lt;0.05,'3. Calc'!C105,IF(I20&lt;0.1,'3. Calc'!C104,IF(I20&gt;0.1,'3. Calc'!C103,'3. Calc'!C104)))))</f>
        <v>1.5</v>
      </c>
      <c r="O43" s="292" t="n">
        <f aca="false">IF(G69="empty",1,VLOOKUP(S37,'3. Calc'!$B$102:$C$106,2,FALSE()))</f>
        <v>1</v>
      </c>
      <c r="P43" s="292" t="n">
        <f aca="false">IF(G69="empty",1,IF(H35="B",'3. Calc'!C103,IF(H35="F",'3. Calc'!C103,IF(H39='12.lan'!D324,'3. Calc'!C105,IF(H39='12.lan'!D324,'3. Calc'!C105,'3. Calc'!C104)))))</f>
        <v>0.5</v>
      </c>
      <c r="Q43" s="136"/>
      <c r="R43" s="136"/>
      <c r="S43" s="136" t="n">
        <f aca="false">VLOOKUP('10. Industry'!L39,F49:H53,3,FALSE())</f>
        <v>1.5</v>
      </c>
    </row>
    <row r="44" customFormat="false" ht="24" hidden="false" customHeight="true" outlineLevel="0" collapsed="false">
      <c r="A44" s="136"/>
      <c r="B44" s="140"/>
      <c r="C44" s="140"/>
      <c r="D44" s="140"/>
      <c r="E44" s="140"/>
      <c r="F44" s="140"/>
      <c r="G44" s="140"/>
      <c r="H44" s="140"/>
      <c r="I44" s="140"/>
      <c r="J44" s="140"/>
      <c r="K44" s="140"/>
      <c r="L44" s="140"/>
      <c r="M44" s="140"/>
      <c r="N44" s="140"/>
      <c r="O44" s="140"/>
      <c r="P44" s="140"/>
      <c r="Q44" s="142"/>
      <c r="R44" s="136"/>
    </row>
    <row r="45" customFormat="false" ht="16.5" hidden="false" customHeight="true" outlineLevel="0" collapsed="false">
      <c r="A45" s="136"/>
      <c r="B45" s="156"/>
      <c r="C45" s="156"/>
      <c r="D45" s="156"/>
      <c r="E45" s="156"/>
      <c r="F45" s="156"/>
      <c r="G45" s="156"/>
      <c r="H45" s="156"/>
      <c r="I45" s="156"/>
      <c r="J45" s="156"/>
      <c r="K45" s="156"/>
      <c r="L45" s="156"/>
      <c r="M45" s="293" t="s">
        <v>165</v>
      </c>
      <c r="N45" s="293" t="s">
        <v>166</v>
      </c>
      <c r="O45" s="293" t="s">
        <v>126</v>
      </c>
      <c r="P45" s="293" t="s">
        <v>167</v>
      </c>
      <c r="Q45" s="149"/>
      <c r="R45" s="136"/>
    </row>
    <row r="46" customFormat="false" ht="24.75" hidden="false" customHeight="true" outlineLevel="0" collapsed="false">
      <c r="A46" s="136"/>
      <c r="B46" s="156"/>
      <c r="C46" s="156"/>
      <c r="D46" s="156"/>
      <c r="E46" s="156"/>
      <c r="F46" s="156"/>
      <c r="G46" s="156"/>
      <c r="H46" s="156"/>
      <c r="I46" s="156"/>
      <c r="J46" s="156"/>
      <c r="K46" s="156"/>
      <c r="L46" s="156"/>
      <c r="M46" s="293"/>
      <c r="N46" s="293"/>
      <c r="O46" s="293"/>
      <c r="P46" s="293"/>
      <c r="Q46" s="149"/>
      <c r="R46" s="136"/>
    </row>
    <row r="47" customFormat="false" ht="24.75" hidden="false" customHeight="true" outlineLevel="0" collapsed="false">
      <c r="A47" s="136"/>
      <c r="B47" s="156"/>
      <c r="C47" s="156"/>
      <c r="D47" s="156"/>
      <c r="E47" s="156"/>
      <c r="F47" s="156"/>
      <c r="G47" s="156"/>
      <c r="H47" s="156"/>
      <c r="I47" s="156"/>
      <c r="J47" s="156"/>
      <c r="K47" s="156"/>
      <c r="L47" s="156"/>
      <c r="M47" s="294"/>
      <c r="N47" s="294"/>
      <c r="O47" s="294"/>
      <c r="P47" s="294"/>
      <c r="Q47" s="149"/>
      <c r="R47" s="136"/>
    </row>
    <row r="48" customFormat="false" ht="26.25" hidden="false" customHeight="true" outlineLevel="0" collapsed="false">
      <c r="A48" s="136"/>
      <c r="B48" s="156"/>
      <c r="C48" s="156"/>
      <c r="D48" s="156"/>
      <c r="F48" s="177" t="s">
        <v>168</v>
      </c>
      <c r="G48" s="177"/>
      <c r="H48" s="177"/>
      <c r="K48" s="156"/>
      <c r="L48" s="156"/>
      <c r="M48" s="272"/>
      <c r="N48" s="272"/>
      <c r="O48" s="272"/>
      <c r="P48" s="272"/>
      <c r="Q48" s="149"/>
      <c r="R48" s="137" t="s">
        <v>169</v>
      </c>
    </row>
    <row r="49" customFormat="false" ht="18.75" hidden="false" customHeight="true" outlineLevel="0" collapsed="false">
      <c r="A49" s="136"/>
      <c r="B49" s="295"/>
      <c r="C49" s="295"/>
      <c r="D49" s="295"/>
      <c r="E49" s="295"/>
      <c r="F49" s="295" t="s">
        <v>170</v>
      </c>
      <c r="G49" s="296"/>
      <c r="H49" s="297" t="n">
        <v>0</v>
      </c>
      <c r="I49" s="298" t="n">
        <f aca="false">IFERROR((60*'11.Region'!G3/('11.Region'!G3+'11.Region'!G10+(I19+I21+I22+G24))*5),100)</f>
        <v>0.131787864198657</v>
      </c>
      <c r="J49" s="298" t="n">
        <f aca="false">IF(I49&lt;60,60,IF(I49&gt;300,300,I49))</f>
        <v>60</v>
      </c>
      <c r="K49" s="299" t="n">
        <f aca="false">IFERROR(IF(J49=60,0.5,IF(J49=300,2,IF(J49&lt;180,1,1.5))),1)</f>
        <v>0.5</v>
      </c>
      <c r="L49" s="299"/>
      <c r="M49" s="300" t="n">
        <f aca="false">M62/$Q$67*1000</f>
        <v>23.8095238095238</v>
      </c>
      <c r="N49" s="300" t="n">
        <f aca="false">N62/$Q$67*1000</f>
        <v>23.8095238095238</v>
      </c>
      <c r="O49" s="300" t="n">
        <f aca="false">O62/$Q$67*1000</f>
        <v>23.8095238095238</v>
      </c>
      <c r="P49" s="300" t="n">
        <f aca="false">P62/$Q$67*1000</f>
        <v>23.8095238095238</v>
      </c>
      <c r="Q49" s="301" t="n">
        <f aca="false">SUM(M49:P49)</f>
        <v>95.2380952380952</v>
      </c>
      <c r="R49" s="137" t="n">
        <f aca="false">'3. Calc'!D9</f>
        <v>0.5</v>
      </c>
    </row>
    <row r="50" customFormat="false" ht="18.75" hidden="false" customHeight="true" outlineLevel="0" collapsed="false">
      <c r="A50" s="136"/>
      <c r="B50" s="177"/>
      <c r="C50" s="177"/>
      <c r="D50" s="177"/>
      <c r="E50" s="177"/>
      <c r="F50" s="177" t="s">
        <v>171</v>
      </c>
      <c r="G50" s="302"/>
      <c r="H50" s="177" t="n">
        <v>0.5</v>
      </c>
      <c r="I50" s="298" t="n">
        <f aca="false">IFERROR((60*(I19+I21+I22+G24)/('11.Region'!G3+'11.Region'!G10+(I19+I21+I22+G24))*10),100)</f>
        <v>599.729174621193</v>
      </c>
      <c r="J50" s="298" t="n">
        <f aca="false">IF(I50&lt;60,60,IF(I50&gt;300,300,I50))</f>
        <v>300</v>
      </c>
      <c r="K50" s="299" t="n">
        <f aca="false">IFERROR(IF(J50=60,0.5,IF(J50=300,2,IF(J50&lt;180,1,1.5))),1)</f>
        <v>2</v>
      </c>
      <c r="L50" s="299"/>
      <c r="M50" s="300" t="n">
        <f aca="false">M63/$Q$67*1000</f>
        <v>95.2380952380952</v>
      </c>
      <c r="N50" s="300" t="n">
        <f aca="false">N63/$Q$67*1000</f>
        <v>142.857142857143</v>
      </c>
      <c r="O50" s="300" t="n">
        <f aca="false">O63/$Q$67*1000</f>
        <v>142.857142857143</v>
      </c>
      <c r="P50" s="300" t="n">
        <f aca="false">P63/$Q$67*1000</f>
        <v>47.6190476190476</v>
      </c>
      <c r="Q50" s="301" t="n">
        <f aca="false">SUM(M50:P50)</f>
        <v>428.571428571429</v>
      </c>
      <c r="R50" s="137" t="n">
        <f aca="false">'3. Calc'!D23</f>
        <v>2</v>
      </c>
    </row>
    <row r="51" customFormat="false" ht="18.75" hidden="false" customHeight="true" outlineLevel="0" collapsed="false">
      <c r="A51" s="136"/>
      <c r="B51" s="177"/>
      <c r="C51" s="177"/>
      <c r="D51" s="177"/>
      <c r="E51" s="177"/>
      <c r="F51" s="177" t="s">
        <v>172</v>
      </c>
      <c r="G51" s="302"/>
      <c r="H51" s="177" t="n">
        <v>1</v>
      </c>
      <c r="I51" s="298" t="n">
        <f aca="false">IFERROR((60*'11.Region'!G10/('11.Region'!G3+'11.Region'!G10+(I19+I21+I22+G24))*10),100)</f>
        <v>0.00724965040956814</v>
      </c>
      <c r="J51" s="298" t="n">
        <f aca="false">IF(I51&lt;60,60,IF(I51&gt;300,300,I51))</f>
        <v>60</v>
      </c>
      <c r="K51" s="299" t="n">
        <f aca="false">IFERROR(IF(J51=60,0.5,IF(J51=300,2,IF(J51&lt;180,1,1.5))),1)</f>
        <v>0.5</v>
      </c>
      <c r="L51" s="299"/>
      <c r="M51" s="300" t="n">
        <f aca="false">M64/$Q$67*1000</f>
        <v>23.8095238095238</v>
      </c>
      <c r="N51" s="300" t="n">
        <f aca="false">N64/$Q$67*1000</f>
        <v>23.8095238095238</v>
      </c>
      <c r="O51" s="300" t="n">
        <f aca="false">O64/$Q$67*1000</f>
        <v>35.7142857142857</v>
      </c>
      <c r="P51" s="300" t="n">
        <f aca="false">P64/$Q$67*1000</f>
        <v>11.9047619047619</v>
      </c>
      <c r="Q51" s="301" t="n">
        <f aca="false">SUM(M51:P51)</f>
        <v>95.2380952380952</v>
      </c>
      <c r="R51" s="137" t="n">
        <f aca="false">'3. Calc'!D38</f>
        <v>0.5</v>
      </c>
    </row>
    <row r="52" customFormat="false" ht="18.75" hidden="false" customHeight="true" outlineLevel="0" collapsed="false">
      <c r="A52" s="136"/>
      <c r="B52" s="177"/>
      <c r="C52" s="177"/>
      <c r="D52" s="177"/>
      <c r="E52" s="177"/>
      <c r="F52" s="177" t="s">
        <v>173</v>
      </c>
      <c r="G52" s="302"/>
      <c r="H52" s="177" t="n">
        <v>1.5</v>
      </c>
      <c r="I52" s="177"/>
      <c r="J52" s="177"/>
      <c r="K52" s="299" t="n">
        <f aca="false">K32</f>
        <v>1</v>
      </c>
      <c r="L52" s="299"/>
      <c r="M52" s="300" t="n">
        <f aca="false">M65/$Q$67*1000</f>
        <v>47.6190476190476</v>
      </c>
      <c r="N52" s="300" t="n">
        <f aca="false">N65/$Q$67*1000</f>
        <v>47.6190476190476</v>
      </c>
      <c r="O52" s="300" t="n">
        <f aca="false">O65/$Q$67*1000</f>
        <v>47.6190476190476</v>
      </c>
      <c r="P52" s="300" t="n">
        <f aca="false">P65/$Q$67*1000</f>
        <v>47.6190476190476</v>
      </c>
      <c r="Q52" s="301" t="n">
        <f aca="false">SUM(M52:P52)</f>
        <v>190.47619047619</v>
      </c>
      <c r="R52" s="137" t="n">
        <f aca="false">'3. Calc'!D59</f>
        <v>1</v>
      </c>
    </row>
    <row r="53" customFormat="false" ht="18.75" hidden="false" customHeight="true" outlineLevel="0" collapsed="false">
      <c r="A53" s="136"/>
      <c r="B53" s="177"/>
      <c r="C53" s="177"/>
      <c r="D53" s="177"/>
      <c r="E53" s="177"/>
      <c r="F53" s="177" t="s">
        <v>174</v>
      </c>
      <c r="G53" s="302"/>
      <c r="H53" s="177" t="n">
        <v>2</v>
      </c>
      <c r="I53" s="177"/>
      <c r="J53" s="177"/>
      <c r="K53" s="299" t="n">
        <f aca="false">K38</f>
        <v>1</v>
      </c>
      <c r="L53" s="299"/>
      <c r="M53" s="300" t="n">
        <f aca="false">M66/$Q$67*1000</f>
        <v>47.6190476190476</v>
      </c>
      <c r="N53" s="300" t="n">
        <f aca="false">N66/$Q$67*1000</f>
        <v>71.4285714285714</v>
      </c>
      <c r="O53" s="300" t="n">
        <f aca="false">O66/$Q$67*1000</f>
        <v>47.6190476190476</v>
      </c>
      <c r="P53" s="300" t="n">
        <f aca="false">P66/$Q$67*1000</f>
        <v>23.8095238095238</v>
      </c>
      <c r="Q53" s="301" t="n">
        <f aca="false">SUM(M53:P53)</f>
        <v>190.47619047619</v>
      </c>
      <c r="R53" s="137" t="n">
        <f aca="false">'3. Calc'!D76</f>
        <v>1</v>
      </c>
    </row>
    <row r="54" customFormat="false" ht="18.75" hidden="false" customHeight="true" outlineLevel="0" collapsed="false">
      <c r="A54" s="136"/>
      <c r="B54" s="303"/>
      <c r="C54" s="303"/>
      <c r="D54" s="303"/>
      <c r="E54" s="303"/>
      <c r="F54" s="303"/>
      <c r="G54" s="303"/>
      <c r="H54" s="303"/>
      <c r="I54" s="303"/>
      <c r="J54" s="303"/>
      <c r="K54" s="303"/>
      <c r="L54" s="303"/>
      <c r="M54" s="304" t="n">
        <f aca="false">SUM(M49:M53)</f>
        <v>238.095238095238</v>
      </c>
      <c r="N54" s="304" t="n">
        <f aca="false">SUM(N49:N53)</f>
        <v>309.52380952381</v>
      </c>
      <c r="O54" s="304" t="n">
        <f aca="false">SUM(O49:O53)</f>
        <v>297.619047619048</v>
      </c>
      <c r="P54" s="304" t="n">
        <f aca="false">SUM(P49:P53)</f>
        <v>154.761904761905</v>
      </c>
      <c r="Q54" s="305" t="n">
        <f aca="false">SUM(Q49:Q53)</f>
        <v>1000</v>
      </c>
      <c r="R54" s="136"/>
    </row>
    <row r="55" customFormat="false" ht="18.75" hidden="false" customHeight="true" outlineLevel="0" collapsed="false">
      <c r="A55" s="136"/>
      <c r="B55" s="136"/>
      <c r="C55" s="136"/>
      <c r="D55" s="136"/>
      <c r="E55" s="136"/>
      <c r="F55" s="136"/>
      <c r="G55" s="136"/>
      <c r="H55" s="136"/>
      <c r="I55" s="136"/>
      <c r="J55" s="136"/>
      <c r="K55" s="136"/>
      <c r="L55" s="136"/>
      <c r="M55" s="137"/>
      <c r="N55" s="137"/>
      <c r="O55" s="137"/>
      <c r="P55" s="137"/>
      <c r="Q55" s="136"/>
      <c r="R55" s="136"/>
    </row>
    <row r="56" customFormat="false" ht="24.75" hidden="false" customHeight="true" outlineLevel="0" collapsed="false">
      <c r="A56" s="136"/>
      <c r="B56" s="136"/>
      <c r="C56" s="136"/>
      <c r="D56" s="136"/>
      <c r="E56" s="136"/>
      <c r="F56" s="136"/>
      <c r="G56" s="136"/>
      <c r="H56" s="136"/>
      <c r="I56" s="136"/>
      <c r="J56" s="136"/>
      <c r="K56" s="136"/>
      <c r="L56" s="136"/>
      <c r="M56" s="137"/>
      <c r="N56" s="137"/>
      <c r="O56" s="137"/>
      <c r="P56" s="137"/>
      <c r="Q56" s="136"/>
      <c r="R56" s="136"/>
    </row>
    <row r="57" customFormat="false" ht="24.75" hidden="false" customHeight="true" outlineLevel="0" collapsed="false">
      <c r="A57" s="136"/>
      <c r="B57" s="136"/>
      <c r="C57" s="136"/>
      <c r="D57" s="136"/>
      <c r="E57" s="136"/>
      <c r="F57" s="136"/>
      <c r="G57" s="136"/>
      <c r="H57" s="136"/>
      <c r="I57" s="136"/>
      <c r="J57" s="136"/>
      <c r="K57" s="136"/>
      <c r="L57" s="136"/>
      <c r="M57" s="137"/>
      <c r="N57" s="137"/>
      <c r="O57" s="137"/>
      <c r="P57" s="137"/>
      <c r="Q57" s="136"/>
      <c r="R57" s="136"/>
    </row>
    <row r="58" customFormat="false" ht="27.75" hidden="false" customHeight="true" outlineLevel="0" collapsed="false">
      <c r="A58" s="136"/>
      <c r="B58" s="306"/>
      <c r="C58" s="306"/>
      <c r="D58" s="306"/>
      <c r="E58" s="306"/>
      <c r="F58" s="306"/>
      <c r="G58" s="306"/>
      <c r="H58" s="306"/>
      <c r="I58" s="306"/>
      <c r="J58" s="306"/>
      <c r="K58" s="306"/>
      <c r="L58" s="306"/>
      <c r="M58" s="306"/>
      <c r="N58" s="306"/>
      <c r="O58" s="306"/>
      <c r="P58" s="306"/>
      <c r="Q58" s="306"/>
      <c r="R58" s="136"/>
    </row>
    <row r="59" customFormat="false" ht="27.75" hidden="false" customHeight="true" outlineLevel="0" collapsed="false">
      <c r="A59" s="136"/>
      <c r="B59" s="156"/>
      <c r="C59" s="156"/>
      <c r="D59" s="156"/>
      <c r="E59" s="156"/>
      <c r="F59" s="156"/>
      <c r="G59" s="156"/>
      <c r="H59" s="156"/>
      <c r="I59" s="156"/>
      <c r="J59" s="156"/>
      <c r="K59" s="156"/>
      <c r="L59" s="156"/>
      <c r="M59" s="294" t="s">
        <v>165</v>
      </c>
      <c r="N59" s="294" t="s">
        <v>166</v>
      </c>
      <c r="O59" s="294" t="s">
        <v>126</v>
      </c>
      <c r="P59" s="294" t="s">
        <v>167</v>
      </c>
      <c r="Q59" s="149"/>
      <c r="R59" s="136"/>
    </row>
    <row r="60" customFormat="false" ht="19.5" hidden="false" customHeight="true" outlineLevel="0" collapsed="false">
      <c r="A60" s="136"/>
      <c r="B60" s="156"/>
      <c r="C60" s="156"/>
      <c r="D60" s="156"/>
      <c r="E60" s="156"/>
      <c r="F60" s="156"/>
      <c r="G60" s="156"/>
      <c r="H60" s="156"/>
      <c r="I60" s="156"/>
      <c r="J60" s="156"/>
      <c r="K60" s="156"/>
      <c r="L60" s="156"/>
      <c r="M60" s="294"/>
      <c r="N60" s="294"/>
      <c r="O60" s="294"/>
      <c r="P60" s="294"/>
      <c r="Q60" s="149"/>
      <c r="R60" s="136"/>
    </row>
    <row r="61" customFormat="false" ht="23.25" hidden="false" customHeight="true" outlineLevel="0" collapsed="false">
      <c r="A61" s="136"/>
      <c r="B61" s="156"/>
      <c r="C61" s="156"/>
      <c r="D61" s="156"/>
      <c r="E61" s="156"/>
      <c r="F61" s="156"/>
      <c r="G61" s="156"/>
      <c r="H61" s="156"/>
      <c r="I61" s="156"/>
      <c r="J61" s="156"/>
      <c r="K61" s="156"/>
      <c r="L61" s="156"/>
      <c r="M61" s="272" t="n">
        <v>1</v>
      </c>
      <c r="N61" s="272" t="n">
        <v>1</v>
      </c>
      <c r="O61" s="272" t="n">
        <v>1</v>
      </c>
      <c r="P61" s="272" t="n">
        <v>1</v>
      </c>
      <c r="Q61" s="149"/>
      <c r="R61" s="136"/>
    </row>
    <row r="62" customFormat="false" ht="54" hidden="false" customHeight="true" outlineLevel="0" collapsed="false">
      <c r="A62" s="136"/>
      <c r="B62" s="295"/>
      <c r="C62" s="295"/>
      <c r="D62" s="295"/>
      <c r="E62" s="295"/>
      <c r="F62" s="295"/>
      <c r="G62" s="295"/>
      <c r="H62" s="295"/>
      <c r="I62" s="295"/>
      <c r="J62" s="295"/>
      <c r="K62" s="307" t="n">
        <f aca="false">IF(K49=R49,K49,R49)</f>
        <v>0.5</v>
      </c>
      <c r="L62" s="307"/>
      <c r="M62" s="308" t="n">
        <f aca="false">M14*$K$62</f>
        <v>0.5</v>
      </c>
      <c r="N62" s="308" t="n">
        <f aca="false">N14*$K$62</f>
        <v>0.5</v>
      </c>
      <c r="O62" s="308" t="n">
        <f aca="false">O14*$K$62</f>
        <v>0.5</v>
      </c>
      <c r="P62" s="308" t="n">
        <f aca="false">P14*$K$62</f>
        <v>0.5</v>
      </c>
      <c r="Q62" s="301" t="n">
        <f aca="false">SUM(M62:P62)</f>
        <v>2</v>
      </c>
      <c r="R62" s="136"/>
    </row>
    <row r="63" customFormat="false" ht="27" hidden="false" customHeight="true" outlineLevel="0" collapsed="false">
      <c r="A63" s="136"/>
      <c r="B63" s="177"/>
      <c r="C63" s="177"/>
      <c r="D63" s="177"/>
      <c r="E63" s="177"/>
      <c r="F63" s="177"/>
      <c r="G63" s="177"/>
      <c r="H63" s="177"/>
      <c r="I63" s="177"/>
      <c r="J63" s="177"/>
      <c r="K63" s="307" t="n">
        <f aca="false">IF(K50=R50,K50,R50)</f>
        <v>2</v>
      </c>
      <c r="L63" s="307"/>
      <c r="M63" s="308" t="n">
        <f aca="false">M22*$K$63</f>
        <v>2</v>
      </c>
      <c r="N63" s="308" t="n">
        <f aca="false">N22*$K$63</f>
        <v>3</v>
      </c>
      <c r="O63" s="308" t="n">
        <f aca="false">O22*$K$63</f>
        <v>3</v>
      </c>
      <c r="P63" s="308" t="n">
        <f aca="false">P22*$K$63</f>
        <v>1</v>
      </c>
      <c r="Q63" s="301" t="n">
        <f aca="false">SUM(M63:P63)</f>
        <v>9</v>
      </c>
      <c r="R63" s="136"/>
    </row>
    <row r="64" customFormat="false" ht="29.25" hidden="false" customHeight="true" outlineLevel="0" collapsed="false">
      <c r="A64" s="136"/>
      <c r="B64" s="177"/>
      <c r="C64" s="177"/>
      <c r="D64" s="177"/>
      <c r="E64" s="177"/>
      <c r="F64" s="177"/>
      <c r="G64" s="177"/>
      <c r="H64" s="177"/>
      <c r="I64" s="177"/>
      <c r="J64" s="177"/>
      <c r="K64" s="307" t="n">
        <f aca="false">IF(K51=R51,K51,R51)</f>
        <v>0.5</v>
      </c>
      <c r="L64" s="307"/>
      <c r="M64" s="308" t="n">
        <f aca="false">M28*$K$64</f>
        <v>0.5</v>
      </c>
      <c r="N64" s="308" t="n">
        <f aca="false">N28*$K$64</f>
        <v>0.5</v>
      </c>
      <c r="O64" s="308" t="n">
        <f aca="false">O28*$K$64</f>
        <v>0.75</v>
      </c>
      <c r="P64" s="308" t="n">
        <f aca="false">P28*$K$64</f>
        <v>0.25</v>
      </c>
      <c r="Q64" s="301" t="n">
        <f aca="false">SUM(M64:P64)</f>
        <v>2</v>
      </c>
      <c r="R64" s="136"/>
    </row>
    <row r="65" customFormat="false" ht="24" hidden="false" customHeight="true" outlineLevel="0" collapsed="false">
      <c r="A65" s="136"/>
      <c r="B65" s="177"/>
      <c r="C65" s="177"/>
      <c r="D65" s="177"/>
      <c r="E65" s="177"/>
      <c r="F65" s="177"/>
      <c r="G65" s="177"/>
      <c r="H65" s="177"/>
      <c r="I65" s="177"/>
      <c r="J65" s="177"/>
      <c r="K65" s="307" t="n">
        <f aca="false">IF(K52=R52,K52,R52)</f>
        <v>1</v>
      </c>
      <c r="L65" s="295"/>
      <c r="M65" s="308" t="n">
        <f aca="false">M35*K65</f>
        <v>1</v>
      </c>
      <c r="N65" s="308" t="n">
        <f aca="false">N35*K65</f>
        <v>1</v>
      </c>
      <c r="O65" s="308" t="n">
        <f aca="false">O35*K65</f>
        <v>1</v>
      </c>
      <c r="P65" s="308" t="n">
        <f aca="false">P35*K65</f>
        <v>1</v>
      </c>
      <c r="Q65" s="301" t="n">
        <f aca="false">SUM(M65:P65)</f>
        <v>4</v>
      </c>
      <c r="R65" s="136"/>
    </row>
    <row r="66" customFormat="false" ht="24" hidden="false" customHeight="true" outlineLevel="0" collapsed="false">
      <c r="A66" s="136"/>
      <c r="B66" s="177"/>
      <c r="C66" s="177"/>
      <c r="D66" s="177"/>
      <c r="E66" s="177"/>
      <c r="F66" s="177"/>
      <c r="G66" s="177"/>
      <c r="H66" s="177"/>
      <c r="I66" s="177"/>
      <c r="J66" s="177"/>
      <c r="K66" s="307" t="n">
        <f aca="false">IF(K53=R53,K53,R53)</f>
        <v>1</v>
      </c>
      <c r="L66" s="295"/>
      <c r="M66" s="308" t="n">
        <f aca="false">M41*K66</f>
        <v>1</v>
      </c>
      <c r="N66" s="308" t="n">
        <f aca="false">N41*K66</f>
        <v>1.5</v>
      </c>
      <c r="O66" s="308" t="n">
        <f aca="false">O41*K66</f>
        <v>1</v>
      </c>
      <c r="P66" s="308" t="n">
        <f aca="false">P41*K66</f>
        <v>0.5</v>
      </c>
      <c r="Q66" s="301" t="n">
        <f aca="false">SUM(M66:P66)</f>
        <v>4</v>
      </c>
      <c r="R66" s="136"/>
    </row>
    <row r="67" customFormat="false" ht="24" hidden="false" customHeight="true" outlineLevel="0" collapsed="false">
      <c r="A67" s="136"/>
      <c r="B67" s="303"/>
      <c r="C67" s="303"/>
      <c r="D67" s="303"/>
      <c r="E67" s="303"/>
      <c r="F67" s="303"/>
      <c r="G67" s="303"/>
      <c r="H67" s="303"/>
      <c r="I67" s="303"/>
      <c r="J67" s="303"/>
      <c r="K67" s="303"/>
      <c r="L67" s="303"/>
      <c r="M67" s="304" t="n">
        <f aca="false">SUM(M62:M66)</f>
        <v>5</v>
      </c>
      <c r="N67" s="304" t="n">
        <f aca="false">SUM(N62:N66)</f>
        <v>6.5</v>
      </c>
      <c r="O67" s="304" t="n">
        <f aca="false">SUM(O62:O66)</f>
        <v>6.25</v>
      </c>
      <c r="P67" s="304" t="n">
        <f aca="false">SUM(P62:P66)</f>
        <v>3.25</v>
      </c>
      <c r="Q67" s="305" t="n">
        <f aca="false">SUM(Q62:Q66)</f>
        <v>21</v>
      </c>
      <c r="R67" s="136"/>
    </row>
    <row r="68" customFormat="false" ht="24" hidden="false" customHeight="true" outlineLevel="0" collapsed="false">
      <c r="A68" s="136"/>
      <c r="B68" s="136"/>
      <c r="C68" s="136"/>
      <c r="D68" s="136"/>
      <c r="E68" s="136"/>
      <c r="F68" s="136"/>
      <c r="G68" s="136"/>
      <c r="H68" s="136"/>
      <c r="I68" s="136"/>
      <c r="J68" s="136"/>
      <c r="K68" s="136"/>
      <c r="L68" s="136"/>
      <c r="M68" s="137"/>
      <c r="N68" s="137"/>
      <c r="O68" s="137"/>
      <c r="P68" s="137"/>
      <c r="Q68" s="136"/>
      <c r="R68" s="136"/>
    </row>
    <row r="69" customFormat="false" ht="36" hidden="false" customHeight="true" outlineLevel="0" collapsed="false">
      <c r="A69" s="136"/>
      <c r="B69" s="136"/>
      <c r="C69" s="136"/>
      <c r="D69" s="136"/>
      <c r="E69" s="136"/>
      <c r="F69" s="309" t="s">
        <v>175</v>
      </c>
      <c r="G69" s="309" t="str">
        <f aca="false">IF(AND('2. Company Facts'!C7=0,'2. Company Facts'!F10=0,'2. Company Facts'!F11=0,'2. Company Facts'!F12=0,'2. Company Facts'!F13=0,'2. Company Facts'!F14=0,'2. Company Facts'!C18=0,'2. Company Facts'!C19=0,'2. Company Facts'!C20=0,'2. Company Facts'!C21=0,'2. Company Facts'!C22=0,'2. Company Facts'!C23=0,'2. Company Facts'!C26=0,'2. Company Facts'!C27=0,'2. Company Facts'!D30=0,'2. Company Facts'!D31=0,'2. Company Facts'!D32=0,'2. Company Facts'!C33=0,'2. Company Facts'!C34=0,'2. Company Facts'!C37=0,'2. Company Facts'!C38=0,'2. Company Facts'!D41=0,'2. Company Facts'!D42=0,'2. Company Facts'!D43=0),"empty","data")</f>
        <v>data</v>
      </c>
      <c r="H69" s="136"/>
      <c r="I69" s="136"/>
      <c r="J69" s="136"/>
      <c r="K69" s="136"/>
      <c r="L69" s="136"/>
      <c r="M69" s="137"/>
      <c r="N69" s="137"/>
      <c r="O69" s="137"/>
      <c r="P69" s="137"/>
      <c r="Q69" s="136"/>
      <c r="R69" s="136"/>
    </row>
    <row r="70" customFormat="false" ht="24" hidden="false" customHeight="true" outlineLevel="0" collapsed="false">
      <c r="A70" s="136"/>
      <c r="B70" s="136" t="s">
        <v>176</v>
      </c>
      <c r="C70" s="136"/>
      <c r="D70" s="136"/>
      <c r="E70" s="136"/>
      <c r="F70" s="136"/>
      <c r="G70" s="136"/>
      <c r="H70" s="136"/>
      <c r="I70" s="136"/>
      <c r="J70" s="136"/>
      <c r="K70" s="136"/>
      <c r="L70" s="136"/>
      <c r="M70" s="137"/>
      <c r="N70" s="137"/>
      <c r="O70" s="137"/>
      <c r="P70" s="137"/>
      <c r="Q70" s="136"/>
      <c r="R70" s="136"/>
    </row>
    <row r="71" customFormat="false" ht="12" hidden="false" customHeight="true" outlineLevel="0" collapsed="false">
      <c r="A71" s="136"/>
      <c r="B71" s="136"/>
      <c r="C71" s="136"/>
      <c r="D71" s="136"/>
      <c r="E71" s="136"/>
      <c r="F71" s="136"/>
      <c r="G71" s="136"/>
      <c r="H71" s="136"/>
      <c r="I71" s="136"/>
      <c r="J71" s="136"/>
      <c r="K71" s="136"/>
      <c r="L71" s="136"/>
      <c r="M71" s="137"/>
      <c r="N71" s="137"/>
      <c r="O71" s="137"/>
      <c r="P71" s="137"/>
      <c r="Q71" s="136"/>
      <c r="R71" s="136"/>
    </row>
    <row r="72" customFormat="false" ht="12" hidden="false" customHeight="true" outlineLevel="0" collapsed="false">
      <c r="A72" s="136"/>
      <c r="B72" s="136"/>
      <c r="C72" s="136"/>
      <c r="D72" s="136"/>
      <c r="E72" s="136"/>
      <c r="F72" s="136"/>
      <c r="G72" s="136"/>
      <c r="H72" s="136"/>
      <c r="I72" s="136"/>
      <c r="J72" s="136"/>
      <c r="K72" s="136"/>
      <c r="L72" s="136"/>
      <c r="M72" s="137"/>
      <c r="N72" s="137"/>
      <c r="O72" s="137"/>
      <c r="P72" s="137"/>
      <c r="Q72" s="136"/>
      <c r="R72" s="136"/>
    </row>
    <row r="73" customFormat="false" ht="12" hidden="false" customHeight="true" outlineLevel="0" collapsed="false">
      <c r="A73" s="136"/>
      <c r="B73" s="136"/>
      <c r="C73" s="136"/>
      <c r="D73" s="136"/>
      <c r="E73" s="136"/>
      <c r="F73" s="136"/>
      <c r="G73" s="136"/>
      <c r="H73" s="136"/>
      <c r="I73" s="136"/>
      <c r="J73" s="136"/>
      <c r="K73" s="136"/>
      <c r="L73" s="136"/>
      <c r="M73" s="137"/>
      <c r="N73" s="137"/>
      <c r="O73" s="137"/>
      <c r="P73" s="137"/>
      <c r="Q73" s="136"/>
      <c r="R73" s="136"/>
    </row>
    <row r="74" customFormat="false" ht="12" hidden="false" customHeight="true" outlineLevel="0" collapsed="false">
      <c r="A74" s="136"/>
    </row>
    <row r="75" customFormat="false" ht="12" hidden="false" customHeight="true" outlineLevel="0" collapsed="false">
      <c r="A75" s="136"/>
    </row>
    <row r="76" customFormat="false" ht="12" hidden="false" customHeight="true" outlineLevel="0" collapsed="false">
      <c r="A76" s="136"/>
    </row>
    <row r="119" customFormat="false" ht="12" hidden="false" customHeight="true" outlineLevel="0" collapsed="false">
      <c r="A119" s="136"/>
      <c r="B119" s="136"/>
      <c r="C119" s="136"/>
      <c r="D119" s="136"/>
      <c r="E119" s="136"/>
      <c r="F119" s="136"/>
      <c r="G119" s="136"/>
      <c r="H119" s="136"/>
      <c r="I119" s="136"/>
      <c r="J119" s="136"/>
      <c r="K119" s="136"/>
      <c r="L119" s="136"/>
      <c r="M119" s="137"/>
      <c r="N119" s="137"/>
      <c r="O119" s="137"/>
      <c r="P119" s="137"/>
      <c r="Q119" s="136"/>
      <c r="R119" s="136"/>
    </row>
    <row r="120" customFormat="false" ht="12" hidden="false" customHeight="true" outlineLevel="0" collapsed="false">
      <c r="A120" s="136"/>
      <c r="B120" s="136"/>
      <c r="C120" s="136"/>
      <c r="D120" s="136"/>
      <c r="E120" s="136"/>
      <c r="F120" s="136"/>
      <c r="G120" s="136"/>
      <c r="H120" s="136"/>
      <c r="I120" s="136"/>
      <c r="J120" s="136"/>
      <c r="K120" s="136"/>
      <c r="L120" s="136"/>
      <c r="M120" s="137"/>
      <c r="N120" s="137"/>
      <c r="O120" s="137"/>
      <c r="P120" s="137"/>
      <c r="Q120" s="136"/>
      <c r="R120" s="136"/>
    </row>
    <row r="121" customFormat="false" ht="12" hidden="false" customHeight="true" outlineLevel="0" collapsed="false">
      <c r="A121" s="136"/>
      <c r="B121" s="136"/>
      <c r="C121" s="136"/>
      <c r="D121" s="136"/>
      <c r="E121" s="136"/>
      <c r="F121" s="136"/>
      <c r="G121" s="136"/>
      <c r="H121" s="136"/>
      <c r="I121" s="136"/>
      <c r="J121" s="136"/>
      <c r="K121" s="136"/>
      <c r="L121" s="136"/>
      <c r="M121" s="137"/>
      <c r="N121" s="137"/>
      <c r="O121" s="137"/>
      <c r="P121" s="137"/>
      <c r="Q121" s="136"/>
      <c r="R121" s="136"/>
    </row>
    <row r="122" customFormat="false" ht="12" hidden="false" customHeight="true" outlineLevel="0" collapsed="false">
      <c r="A122" s="136"/>
      <c r="B122" s="136"/>
      <c r="C122" s="136"/>
      <c r="D122" s="136"/>
      <c r="E122" s="136"/>
      <c r="F122" s="136"/>
      <c r="G122" s="136"/>
      <c r="H122" s="136"/>
      <c r="I122" s="136"/>
      <c r="J122" s="136"/>
      <c r="K122" s="136"/>
      <c r="L122" s="136"/>
      <c r="M122" s="137"/>
      <c r="N122" s="137"/>
      <c r="O122" s="137"/>
      <c r="P122" s="137"/>
      <c r="Q122" s="136"/>
      <c r="R122" s="136"/>
    </row>
    <row r="123" customFormat="false" ht="12" hidden="false" customHeight="true" outlineLevel="0" collapsed="false">
      <c r="A123" s="136"/>
      <c r="B123" s="136"/>
      <c r="C123" s="136"/>
      <c r="D123" s="136"/>
      <c r="E123" s="136"/>
      <c r="F123" s="136"/>
      <c r="G123" s="136"/>
      <c r="H123" s="136"/>
      <c r="I123" s="136"/>
      <c r="J123" s="136"/>
      <c r="K123" s="136"/>
      <c r="L123" s="136"/>
      <c r="M123" s="137"/>
      <c r="N123" s="137"/>
      <c r="O123" s="137"/>
      <c r="P123" s="137"/>
      <c r="Q123" s="136"/>
      <c r="R123" s="136"/>
    </row>
    <row r="124" customFormat="false" ht="12" hidden="false" customHeight="true" outlineLevel="0" collapsed="false">
      <c r="A124" s="136"/>
      <c r="B124" s="136"/>
      <c r="C124" s="136"/>
      <c r="D124" s="136"/>
      <c r="E124" s="136"/>
      <c r="F124" s="136"/>
      <c r="G124" s="136"/>
      <c r="H124" s="136"/>
      <c r="I124" s="136"/>
      <c r="J124" s="136"/>
      <c r="K124" s="136"/>
      <c r="L124" s="136"/>
      <c r="M124" s="137"/>
      <c r="N124" s="137"/>
      <c r="O124" s="137"/>
      <c r="P124" s="137"/>
      <c r="Q124" s="136"/>
      <c r="R124" s="136"/>
    </row>
    <row r="125" customFormat="false" ht="12" hidden="false" customHeight="true" outlineLevel="0" collapsed="false">
      <c r="A125" s="136"/>
      <c r="B125" s="136"/>
      <c r="C125" s="136"/>
      <c r="D125" s="136"/>
      <c r="E125" s="136"/>
      <c r="F125" s="136"/>
      <c r="G125" s="136"/>
      <c r="H125" s="136"/>
      <c r="I125" s="136"/>
      <c r="J125" s="136"/>
      <c r="K125" s="136"/>
      <c r="L125" s="136"/>
      <c r="M125" s="137"/>
      <c r="N125" s="137"/>
      <c r="O125" s="137"/>
      <c r="P125" s="137"/>
      <c r="Q125" s="136"/>
      <c r="R125" s="136"/>
    </row>
    <row r="126" customFormat="false" ht="12" hidden="false" customHeight="true" outlineLevel="0" collapsed="false">
      <c r="A126" s="136"/>
      <c r="B126" s="136"/>
      <c r="C126" s="136"/>
      <c r="D126" s="136"/>
      <c r="E126" s="136"/>
      <c r="F126" s="136"/>
      <c r="G126" s="136"/>
      <c r="H126" s="136"/>
      <c r="I126" s="136"/>
      <c r="J126" s="136"/>
      <c r="K126" s="136"/>
      <c r="L126" s="136"/>
      <c r="M126" s="137"/>
      <c r="N126" s="137"/>
      <c r="O126" s="137"/>
      <c r="P126" s="137"/>
      <c r="Q126" s="136"/>
      <c r="R126" s="136"/>
    </row>
    <row r="127" customFormat="false" ht="12" hidden="false" customHeight="true" outlineLevel="0" collapsed="false">
      <c r="A127" s="136"/>
      <c r="B127" s="136"/>
      <c r="C127" s="136"/>
      <c r="D127" s="136"/>
      <c r="E127" s="136"/>
      <c r="F127" s="136"/>
      <c r="G127" s="136"/>
      <c r="H127" s="136"/>
      <c r="I127" s="136"/>
      <c r="J127" s="136"/>
      <c r="K127" s="136"/>
      <c r="L127" s="136"/>
      <c r="M127" s="137"/>
      <c r="N127" s="137"/>
      <c r="O127" s="137"/>
      <c r="P127" s="137"/>
      <c r="Q127" s="136"/>
      <c r="R127" s="136"/>
    </row>
    <row r="128" customFormat="false" ht="12" hidden="false" customHeight="true" outlineLevel="0" collapsed="false">
      <c r="A128" s="136"/>
      <c r="B128" s="136"/>
      <c r="C128" s="136"/>
      <c r="D128" s="136"/>
      <c r="E128" s="136"/>
      <c r="F128" s="136"/>
      <c r="G128" s="136"/>
      <c r="H128" s="136"/>
      <c r="I128" s="136"/>
      <c r="J128" s="136"/>
      <c r="K128" s="136"/>
      <c r="L128" s="136"/>
      <c r="M128" s="137"/>
      <c r="N128" s="137"/>
      <c r="O128" s="137"/>
      <c r="P128" s="137"/>
      <c r="Q128" s="136"/>
      <c r="R128" s="136"/>
    </row>
    <row r="129" customFormat="false" ht="12" hidden="false" customHeight="true" outlineLevel="0" collapsed="false">
      <c r="A129" s="136"/>
      <c r="B129" s="136"/>
      <c r="C129" s="136"/>
      <c r="D129" s="136"/>
      <c r="E129" s="136"/>
      <c r="F129" s="136"/>
      <c r="G129" s="136"/>
      <c r="H129" s="136"/>
      <c r="I129" s="136"/>
      <c r="J129" s="136"/>
      <c r="K129" s="136"/>
      <c r="L129" s="136"/>
      <c r="M129" s="137"/>
      <c r="N129" s="137"/>
      <c r="O129" s="137"/>
      <c r="P129" s="137"/>
      <c r="Q129" s="136"/>
      <c r="R129" s="136"/>
    </row>
    <row r="130" customFormat="false" ht="12" hidden="false" customHeight="true" outlineLevel="0" collapsed="false">
      <c r="A130" s="136"/>
      <c r="B130" s="136"/>
      <c r="C130" s="136"/>
      <c r="D130" s="136"/>
      <c r="E130" s="136"/>
      <c r="F130" s="136"/>
      <c r="G130" s="136"/>
      <c r="H130" s="136"/>
      <c r="I130" s="136"/>
      <c r="J130" s="136"/>
      <c r="K130" s="136"/>
      <c r="L130" s="136"/>
      <c r="M130" s="137"/>
      <c r="N130" s="137"/>
      <c r="O130" s="137"/>
      <c r="P130" s="137"/>
      <c r="Q130" s="136"/>
      <c r="R130" s="136"/>
    </row>
    <row r="131" customFormat="false" ht="12" hidden="false" customHeight="true" outlineLevel="0" collapsed="false">
      <c r="A131" s="136"/>
      <c r="B131" s="136"/>
      <c r="C131" s="136"/>
      <c r="D131" s="136"/>
      <c r="E131" s="136"/>
      <c r="F131" s="136"/>
      <c r="G131" s="136"/>
      <c r="H131" s="136"/>
      <c r="I131" s="136"/>
      <c r="J131" s="136"/>
      <c r="K131" s="136"/>
      <c r="L131" s="136"/>
      <c r="M131" s="137"/>
      <c r="N131" s="137"/>
      <c r="O131" s="137"/>
      <c r="P131" s="137"/>
      <c r="Q131" s="136"/>
      <c r="R131" s="136"/>
    </row>
    <row r="132" customFormat="false" ht="12" hidden="false" customHeight="true" outlineLevel="0" collapsed="false">
      <c r="A132" s="136"/>
      <c r="B132" s="136"/>
      <c r="C132" s="136"/>
      <c r="D132" s="136"/>
      <c r="E132" s="136"/>
      <c r="F132" s="136"/>
      <c r="G132" s="136"/>
      <c r="H132" s="136"/>
      <c r="I132" s="136"/>
      <c r="J132" s="136"/>
      <c r="K132" s="136"/>
      <c r="L132" s="136"/>
      <c r="M132" s="137"/>
      <c r="N132" s="137"/>
      <c r="O132" s="137"/>
      <c r="P132" s="137"/>
      <c r="Q132" s="136"/>
      <c r="R132" s="136"/>
    </row>
    <row r="133" customFormat="false" ht="12" hidden="false" customHeight="true" outlineLevel="0" collapsed="false">
      <c r="A133" s="136"/>
      <c r="B133" s="136"/>
      <c r="C133" s="136"/>
      <c r="D133" s="136"/>
      <c r="E133" s="136"/>
      <c r="F133" s="136"/>
      <c r="G133" s="136"/>
      <c r="H133" s="136"/>
      <c r="I133" s="136"/>
      <c r="J133" s="136"/>
      <c r="K133" s="136"/>
      <c r="L133" s="136"/>
      <c r="M133" s="137"/>
      <c r="N133" s="137"/>
      <c r="O133" s="137"/>
      <c r="P133" s="137"/>
      <c r="Q133" s="136"/>
      <c r="R133" s="136"/>
    </row>
    <row r="134" customFormat="false" ht="12" hidden="false" customHeight="true" outlineLevel="0" collapsed="false">
      <c r="A134" s="136"/>
      <c r="B134" s="136"/>
      <c r="C134" s="136"/>
      <c r="D134" s="136"/>
      <c r="E134" s="136"/>
      <c r="F134" s="136"/>
      <c r="G134" s="136"/>
      <c r="H134" s="136"/>
      <c r="I134" s="136"/>
      <c r="J134" s="136"/>
      <c r="K134" s="136"/>
      <c r="L134" s="136"/>
      <c r="M134" s="137"/>
      <c r="N134" s="137"/>
      <c r="O134" s="137"/>
      <c r="P134" s="137"/>
      <c r="Q134" s="136"/>
      <c r="R134" s="136"/>
    </row>
    <row r="135" customFormat="false" ht="12" hidden="false" customHeight="true" outlineLevel="0" collapsed="false">
      <c r="A135" s="136"/>
      <c r="B135" s="136"/>
      <c r="C135" s="136"/>
      <c r="D135" s="136"/>
      <c r="E135" s="136"/>
      <c r="F135" s="136"/>
      <c r="G135" s="136"/>
      <c r="H135" s="136"/>
      <c r="I135" s="136"/>
      <c r="J135" s="136"/>
      <c r="K135" s="136"/>
      <c r="L135" s="136"/>
      <c r="M135" s="137"/>
      <c r="N135" s="137"/>
      <c r="O135" s="137"/>
      <c r="P135" s="137"/>
      <c r="Q135" s="136"/>
      <c r="R135" s="136"/>
    </row>
    <row r="136" customFormat="false" ht="12" hidden="false" customHeight="true" outlineLevel="0" collapsed="false">
      <c r="A136" s="310"/>
      <c r="B136" s="136"/>
      <c r="C136" s="136"/>
      <c r="D136" s="136"/>
      <c r="E136" s="136"/>
      <c r="F136" s="136"/>
      <c r="G136" s="136"/>
      <c r="H136" s="136"/>
      <c r="I136" s="136"/>
      <c r="J136" s="136"/>
      <c r="K136" s="136"/>
      <c r="L136" s="136"/>
      <c r="M136" s="137"/>
      <c r="N136" s="137"/>
      <c r="O136" s="137"/>
      <c r="P136" s="137"/>
      <c r="Q136" s="136"/>
      <c r="R136" s="136"/>
    </row>
    <row r="137" customFormat="false" ht="12" hidden="false" customHeight="true" outlineLevel="0" collapsed="false">
      <c r="A137" s="310"/>
      <c r="B137" s="136"/>
      <c r="C137" s="136"/>
      <c r="D137" s="136"/>
      <c r="E137" s="136"/>
      <c r="F137" s="136"/>
      <c r="G137" s="136"/>
      <c r="H137" s="136"/>
      <c r="I137" s="136"/>
      <c r="J137" s="136"/>
      <c r="K137" s="136"/>
      <c r="L137" s="136"/>
      <c r="M137" s="137"/>
      <c r="N137" s="137"/>
      <c r="O137" s="137"/>
      <c r="P137" s="137"/>
      <c r="Q137" s="136"/>
      <c r="R137" s="136"/>
    </row>
    <row r="138" customFormat="false" ht="12" hidden="false" customHeight="true" outlineLevel="0" collapsed="false">
      <c r="A138" s="310"/>
      <c r="B138" s="136"/>
      <c r="C138" s="136"/>
      <c r="D138" s="136"/>
      <c r="E138" s="136"/>
      <c r="F138" s="136"/>
      <c r="G138" s="136"/>
      <c r="H138" s="136"/>
      <c r="I138" s="136"/>
      <c r="J138" s="136"/>
      <c r="K138" s="136"/>
      <c r="L138" s="136"/>
      <c r="M138" s="137"/>
      <c r="N138" s="137"/>
      <c r="O138" s="137"/>
      <c r="P138" s="137"/>
      <c r="Q138" s="136"/>
      <c r="R138" s="136"/>
    </row>
    <row r="139" customFormat="false" ht="12" hidden="false" customHeight="true" outlineLevel="0" collapsed="false">
      <c r="A139" s="136"/>
      <c r="B139" s="136"/>
      <c r="C139" s="136"/>
      <c r="D139" s="136"/>
      <c r="E139" s="136"/>
      <c r="F139" s="136"/>
      <c r="G139" s="136"/>
      <c r="H139" s="136"/>
      <c r="I139" s="136"/>
      <c r="J139" s="136"/>
      <c r="K139" s="136"/>
      <c r="L139" s="136"/>
      <c r="M139" s="137"/>
      <c r="N139" s="137"/>
      <c r="O139" s="137"/>
      <c r="P139" s="137"/>
      <c r="Q139" s="136"/>
      <c r="R139" s="136"/>
    </row>
    <row r="140" customFormat="false" ht="12" hidden="false" customHeight="true" outlineLevel="0" collapsed="false">
      <c r="A140" s="136"/>
      <c r="B140" s="136"/>
      <c r="C140" s="136"/>
      <c r="D140" s="136"/>
      <c r="E140" s="136"/>
      <c r="F140" s="136"/>
      <c r="G140" s="136"/>
      <c r="H140" s="136"/>
      <c r="I140" s="136"/>
      <c r="J140" s="136"/>
      <c r="K140" s="136"/>
      <c r="L140" s="136"/>
      <c r="M140" s="137"/>
      <c r="N140" s="137"/>
      <c r="O140" s="137"/>
      <c r="P140" s="137"/>
      <c r="Q140" s="136"/>
      <c r="R140" s="136"/>
    </row>
    <row r="141" customFormat="false" ht="12" hidden="false" customHeight="true" outlineLevel="0" collapsed="false">
      <c r="A141" s="136"/>
      <c r="B141" s="136"/>
      <c r="C141" s="136"/>
      <c r="D141" s="136"/>
      <c r="E141" s="136"/>
      <c r="F141" s="136"/>
      <c r="G141" s="136"/>
      <c r="H141" s="136"/>
      <c r="I141" s="136"/>
      <c r="J141" s="136"/>
      <c r="K141" s="136"/>
      <c r="L141" s="136"/>
      <c r="M141" s="137"/>
      <c r="N141" s="137"/>
      <c r="O141" s="137"/>
      <c r="P141" s="137"/>
      <c r="Q141" s="136"/>
      <c r="R141" s="136"/>
    </row>
    <row r="142" customFormat="false" ht="12" hidden="false" customHeight="true" outlineLevel="0" collapsed="false">
      <c r="A142" s="136"/>
      <c r="B142" s="136"/>
      <c r="C142" s="136"/>
      <c r="D142" s="136"/>
      <c r="E142" s="136"/>
      <c r="F142" s="136"/>
      <c r="G142" s="136"/>
      <c r="H142" s="136"/>
      <c r="I142" s="136"/>
      <c r="J142" s="136"/>
      <c r="K142" s="136"/>
      <c r="L142" s="136"/>
      <c r="M142" s="137"/>
      <c r="N142" s="137"/>
      <c r="O142" s="137"/>
      <c r="P142" s="137"/>
      <c r="Q142" s="136"/>
      <c r="R142" s="136"/>
    </row>
    <row r="143" customFormat="false" ht="12" hidden="false" customHeight="true" outlineLevel="0" collapsed="false">
      <c r="A143" s="136"/>
      <c r="B143" s="136"/>
      <c r="C143" s="136"/>
      <c r="D143" s="136"/>
      <c r="E143" s="136"/>
      <c r="F143" s="136"/>
      <c r="G143" s="136"/>
      <c r="H143" s="136"/>
      <c r="I143" s="136"/>
      <c r="J143" s="136"/>
      <c r="K143" s="136"/>
      <c r="L143" s="136"/>
      <c r="M143" s="137"/>
      <c r="N143" s="137"/>
      <c r="O143" s="137"/>
      <c r="P143" s="137"/>
      <c r="Q143" s="136"/>
      <c r="R143" s="136"/>
    </row>
    <row r="144" customFormat="false" ht="12" hidden="false" customHeight="true" outlineLevel="0" collapsed="false">
      <c r="A144" s="136"/>
      <c r="B144" s="136"/>
      <c r="C144" s="136"/>
      <c r="D144" s="136"/>
      <c r="E144" s="136"/>
      <c r="F144" s="136"/>
      <c r="G144" s="136"/>
      <c r="H144" s="136"/>
      <c r="I144" s="136"/>
      <c r="J144" s="136"/>
      <c r="K144" s="136"/>
      <c r="L144" s="136"/>
      <c r="M144" s="137"/>
      <c r="N144" s="137"/>
      <c r="O144" s="137"/>
      <c r="P144" s="137"/>
      <c r="Q144" s="136"/>
      <c r="R144" s="136"/>
    </row>
    <row r="145" customFormat="false" ht="12" hidden="false" customHeight="true" outlineLevel="0" collapsed="false">
      <c r="A145" s="136"/>
      <c r="B145" s="136"/>
      <c r="C145" s="136"/>
      <c r="D145" s="136"/>
      <c r="E145" s="136"/>
      <c r="F145" s="136"/>
      <c r="G145" s="136"/>
      <c r="H145" s="136"/>
      <c r="I145" s="136"/>
      <c r="J145" s="136"/>
      <c r="K145" s="136"/>
      <c r="L145" s="136"/>
      <c r="M145" s="137"/>
      <c r="N145" s="137"/>
      <c r="O145" s="137"/>
      <c r="P145" s="137"/>
      <c r="Q145" s="136"/>
      <c r="R145" s="136"/>
    </row>
    <row r="146" customFormat="false" ht="12" hidden="false" customHeight="true" outlineLevel="0" collapsed="false">
      <c r="A146" s="136"/>
      <c r="B146" s="136"/>
      <c r="C146" s="136"/>
      <c r="D146" s="136"/>
      <c r="E146" s="136"/>
      <c r="F146" s="136"/>
      <c r="G146" s="136"/>
      <c r="H146" s="136"/>
      <c r="I146" s="136"/>
      <c r="J146" s="136"/>
      <c r="K146" s="136"/>
      <c r="L146" s="136"/>
      <c r="M146" s="137"/>
      <c r="N146" s="137"/>
      <c r="O146" s="137"/>
      <c r="P146" s="137"/>
      <c r="Q146" s="136"/>
      <c r="R146" s="136"/>
    </row>
    <row r="147" customFormat="false" ht="12" hidden="false" customHeight="true" outlineLevel="0" collapsed="false">
      <c r="A147" s="136"/>
      <c r="B147" s="136"/>
      <c r="C147" s="136"/>
      <c r="D147" s="136"/>
      <c r="E147" s="136"/>
      <c r="F147" s="136"/>
      <c r="G147" s="136"/>
      <c r="H147" s="136"/>
      <c r="I147" s="136"/>
      <c r="J147" s="136"/>
      <c r="K147" s="136"/>
      <c r="L147" s="136"/>
      <c r="M147" s="137"/>
      <c r="N147" s="137"/>
      <c r="O147" s="137"/>
      <c r="P147" s="137"/>
      <c r="Q147" s="136"/>
      <c r="R147" s="136"/>
    </row>
    <row r="148" customFormat="false" ht="12" hidden="false" customHeight="true" outlineLevel="0" collapsed="false">
      <c r="A148" s="136"/>
      <c r="B148" s="136"/>
      <c r="C148" s="136"/>
      <c r="D148" s="136"/>
      <c r="E148" s="136"/>
      <c r="F148" s="136"/>
      <c r="G148" s="136"/>
      <c r="H148" s="136"/>
      <c r="I148" s="136"/>
      <c r="J148" s="136"/>
      <c r="K148" s="136"/>
      <c r="L148" s="136"/>
      <c r="M148" s="137"/>
      <c r="N148" s="137"/>
      <c r="O148" s="137"/>
      <c r="P148" s="137"/>
      <c r="Q148" s="136"/>
      <c r="R148" s="136"/>
    </row>
    <row r="149" customFormat="false" ht="12" hidden="false" customHeight="true" outlineLevel="0" collapsed="false">
      <c r="A149" s="136"/>
      <c r="B149" s="136"/>
      <c r="C149" s="136"/>
      <c r="D149" s="136"/>
      <c r="E149" s="136"/>
      <c r="F149" s="136"/>
      <c r="G149" s="136"/>
      <c r="H149" s="136"/>
      <c r="I149" s="136"/>
      <c r="J149" s="136"/>
      <c r="K149" s="136"/>
      <c r="L149" s="136"/>
      <c r="M149" s="137"/>
      <c r="N149" s="137"/>
      <c r="O149" s="137"/>
      <c r="P149" s="137"/>
      <c r="Q149" s="136"/>
      <c r="R149" s="136"/>
    </row>
    <row r="150" customFormat="false" ht="12" hidden="false" customHeight="true" outlineLevel="0" collapsed="false">
      <c r="A150" s="136"/>
      <c r="B150" s="136"/>
      <c r="C150" s="136"/>
      <c r="D150" s="136"/>
      <c r="E150" s="136"/>
      <c r="F150" s="136"/>
      <c r="G150" s="136"/>
      <c r="H150" s="136"/>
      <c r="I150" s="136"/>
      <c r="J150" s="136"/>
      <c r="K150" s="136"/>
      <c r="L150" s="136"/>
      <c r="M150" s="137"/>
      <c r="N150" s="137"/>
      <c r="O150" s="137"/>
      <c r="P150" s="137"/>
      <c r="Q150" s="136"/>
      <c r="R150" s="136"/>
    </row>
    <row r="151" customFormat="false" ht="12" hidden="false" customHeight="true" outlineLevel="0" collapsed="false">
      <c r="A151" s="136"/>
      <c r="B151" s="136"/>
      <c r="C151" s="136"/>
      <c r="D151" s="136"/>
      <c r="E151" s="136"/>
      <c r="F151" s="136"/>
      <c r="G151" s="136"/>
      <c r="H151" s="136"/>
      <c r="I151" s="136"/>
      <c r="J151" s="136"/>
      <c r="K151" s="136"/>
      <c r="L151" s="136"/>
      <c r="M151" s="137"/>
      <c r="N151" s="137"/>
      <c r="O151" s="137"/>
      <c r="P151" s="137"/>
      <c r="Q151" s="136"/>
      <c r="R151" s="136"/>
    </row>
    <row r="152" customFormat="false" ht="12" hidden="false" customHeight="true" outlineLevel="0" collapsed="false">
      <c r="A152" s="136"/>
      <c r="B152" s="136"/>
      <c r="C152" s="136"/>
      <c r="D152" s="136"/>
      <c r="E152" s="136"/>
      <c r="F152" s="136"/>
      <c r="G152" s="136"/>
      <c r="H152" s="136"/>
      <c r="I152" s="136"/>
      <c r="J152" s="136"/>
      <c r="K152" s="136"/>
      <c r="L152" s="136"/>
      <c r="M152" s="137"/>
      <c r="N152" s="137"/>
      <c r="O152" s="137"/>
      <c r="P152" s="137"/>
      <c r="Q152" s="136"/>
      <c r="R152" s="136"/>
    </row>
    <row r="153" customFormat="false" ht="12" hidden="false" customHeight="true" outlineLevel="0" collapsed="false">
      <c r="A153" s="136"/>
      <c r="B153" s="136"/>
      <c r="C153" s="136"/>
      <c r="D153" s="136"/>
      <c r="E153" s="136"/>
      <c r="F153" s="136"/>
      <c r="G153" s="136"/>
      <c r="H153" s="136"/>
      <c r="I153" s="136"/>
      <c r="J153" s="136"/>
      <c r="K153" s="136"/>
      <c r="L153" s="136"/>
      <c r="M153" s="137"/>
      <c r="N153" s="137"/>
      <c r="O153" s="137"/>
      <c r="P153" s="137"/>
      <c r="Q153" s="136"/>
      <c r="R153" s="136"/>
    </row>
    <row r="154" customFormat="false" ht="12" hidden="false" customHeight="true" outlineLevel="0" collapsed="false">
      <c r="A154" s="136"/>
      <c r="B154" s="136"/>
      <c r="C154" s="136"/>
      <c r="D154" s="136"/>
      <c r="E154" s="136"/>
      <c r="F154" s="136"/>
      <c r="G154" s="136"/>
      <c r="H154" s="136"/>
      <c r="I154" s="136"/>
      <c r="J154" s="136"/>
      <c r="K154" s="136"/>
      <c r="L154" s="136"/>
      <c r="M154" s="137"/>
      <c r="N154" s="137"/>
      <c r="O154" s="137"/>
      <c r="P154" s="137"/>
      <c r="Q154" s="136"/>
      <c r="R154" s="136"/>
    </row>
    <row r="155" customFormat="false" ht="12" hidden="false" customHeight="true" outlineLevel="0" collapsed="false">
      <c r="A155" s="136"/>
      <c r="B155" s="136"/>
      <c r="C155" s="136"/>
      <c r="D155" s="136"/>
      <c r="E155" s="136"/>
      <c r="F155" s="136"/>
      <c r="G155" s="136"/>
      <c r="H155" s="136"/>
      <c r="I155" s="136"/>
      <c r="J155" s="136"/>
      <c r="K155" s="136"/>
      <c r="L155" s="136"/>
      <c r="M155" s="137"/>
      <c r="N155" s="137"/>
      <c r="O155" s="137"/>
      <c r="P155" s="137"/>
      <c r="Q155" s="136"/>
      <c r="R155" s="136"/>
    </row>
    <row r="156" customFormat="false" ht="12" hidden="false" customHeight="true" outlineLevel="0" collapsed="false">
      <c r="A156" s="136"/>
      <c r="B156" s="136"/>
      <c r="C156" s="136"/>
      <c r="D156" s="136"/>
      <c r="E156" s="136"/>
      <c r="F156" s="136"/>
      <c r="G156" s="136"/>
      <c r="H156" s="136"/>
      <c r="I156" s="136"/>
      <c r="J156" s="136"/>
      <c r="K156" s="136"/>
      <c r="L156" s="136"/>
      <c r="M156" s="137"/>
      <c r="N156" s="137"/>
      <c r="O156" s="137"/>
      <c r="P156" s="137"/>
      <c r="Q156" s="136"/>
      <c r="R156" s="136"/>
    </row>
    <row r="157" customFormat="false" ht="12" hidden="false" customHeight="true" outlineLevel="0" collapsed="false">
      <c r="A157" s="136"/>
      <c r="B157" s="136"/>
      <c r="C157" s="136"/>
      <c r="D157" s="136"/>
      <c r="E157" s="136"/>
      <c r="F157" s="136"/>
      <c r="G157" s="136"/>
      <c r="H157" s="136"/>
      <c r="I157" s="136"/>
      <c r="J157" s="136"/>
      <c r="K157" s="136"/>
      <c r="L157" s="136"/>
      <c r="M157" s="137"/>
      <c r="N157" s="137"/>
      <c r="O157" s="137"/>
      <c r="P157" s="137"/>
      <c r="Q157" s="136"/>
      <c r="R157" s="136"/>
    </row>
    <row r="158" customFormat="false" ht="12" hidden="false" customHeight="true" outlineLevel="0" collapsed="false">
      <c r="A158" s="136"/>
      <c r="B158" s="136"/>
      <c r="C158" s="136"/>
      <c r="D158" s="136"/>
      <c r="E158" s="136"/>
      <c r="F158" s="136"/>
      <c r="G158" s="136"/>
      <c r="H158" s="136"/>
      <c r="I158" s="136"/>
      <c r="J158" s="136"/>
      <c r="K158" s="136"/>
      <c r="L158" s="136"/>
      <c r="M158" s="137"/>
      <c r="N158" s="137"/>
      <c r="O158" s="137"/>
      <c r="P158" s="137"/>
      <c r="Q158" s="136"/>
      <c r="R158" s="136"/>
    </row>
    <row r="159" customFormat="false" ht="12" hidden="false" customHeight="true" outlineLevel="0" collapsed="false">
      <c r="A159" s="136"/>
      <c r="B159" s="136"/>
      <c r="C159" s="136"/>
      <c r="D159" s="136"/>
      <c r="E159" s="136"/>
      <c r="F159" s="136"/>
      <c r="G159" s="136"/>
      <c r="H159" s="136"/>
      <c r="I159" s="136"/>
      <c r="J159" s="136"/>
      <c r="K159" s="136"/>
      <c r="L159" s="136"/>
      <c r="M159" s="137"/>
      <c r="N159" s="137"/>
      <c r="O159" s="137"/>
      <c r="P159" s="137"/>
      <c r="Q159" s="136"/>
      <c r="R159" s="136"/>
    </row>
    <row r="160" customFormat="false" ht="12" hidden="false" customHeight="true" outlineLevel="0" collapsed="false">
      <c r="A160" s="136"/>
      <c r="B160" s="136"/>
      <c r="C160" s="136"/>
      <c r="D160" s="136"/>
      <c r="E160" s="136"/>
      <c r="F160" s="136"/>
      <c r="G160" s="136"/>
      <c r="H160" s="136"/>
      <c r="I160" s="136"/>
      <c r="J160" s="136"/>
      <c r="K160" s="136"/>
      <c r="L160" s="136"/>
      <c r="M160" s="137"/>
      <c r="N160" s="137"/>
      <c r="O160" s="137"/>
      <c r="P160" s="137"/>
      <c r="Q160" s="136"/>
      <c r="R160" s="136"/>
    </row>
    <row r="161" customFormat="false" ht="12" hidden="false" customHeight="true" outlineLevel="0" collapsed="false">
      <c r="A161" s="136"/>
      <c r="B161" s="136"/>
      <c r="C161" s="136"/>
      <c r="D161" s="136"/>
      <c r="E161" s="136"/>
      <c r="F161" s="136"/>
      <c r="G161" s="136"/>
      <c r="H161" s="136"/>
      <c r="I161" s="136"/>
      <c r="J161" s="136"/>
      <c r="K161" s="136"/>
      <c r="L161" s="136"/>
      <c r="M161" s="137"/>
      <c r="N161" s="137"/>
      <c r="O161" s="137"/>
      <c r="P161" s="137"/>
      <c r="Q161" s="136"/>
      <c r="R161" s="136"/>
    </row>
    <row r="162" customFormat="false" ht="12" hidden="false" customHeight="true" outlineLevel="0" collapsed="false">
      <c r="A162" s="136"/>
      <c r="B162" s="136"/>
      <c r="C162" s="136"/>
      <c r="D162" s="136"/>
      <c r="E162" s="136"/>
      <c r="F162" s="136"/>
      <c r="G162" s="136"/>
      <c r="H162" s="136"/>
      <c r="I162" s="136"/>
      <c r="J162" s="136"/>
      <c r="K162" s="136"/>
      <c r="L162" s="136"/>
      <c r="M162" s="137"/>
      <c r="N162" s="137"/>
      <c r="O162" s="137"/>
      <c r="P162" s="137"/>
      <c r="Q162" s="136"/>
      <c r="R162" s="136"/>
    </row>
    <row r="163" customFormat="false" ht="12" hidden="false" customHeight="true" outlineLevel="0" collapsed="false">
      <c r="A163" s="136"/>
      <c r="B163" s="136"/>
      <c r="C163" s="136"/>
      <c r="D163" s="136"/>
      <c r="E163" s="136"/>
      <c r="F163" s="136"/>
      <c r="G163" s="136"/>
      <c r="H163" s="136"/>
      <c r="I163" s="136"/>
      <c r="J163" s="136"/>
      <c r="K163" s="136"/>
      <c r="L163" s="136"/>
      <c r="M163" s="137"/>
      <c r="N163" s="137"/>
      <c r="O163" s="137"/>
      <c r="P163" s="137"/>
      <c r="Q163" s="136"/>
      <c r="R163" s="136"/>
    </row>
  </sheetData>
  <sheetProtection algorithmName="SHA-512" hashValue="NyC3T38+0xpLfuKoYjhtt5UC2YKo6I5FlHC2HJHCxQG3+/Z+VPOE4Ga5TBlbtvuegPsxm8M6J3YastDdfJj0EA==" saltValue="X7Al4AM+6xfwrVgFRN4wBw==" spinCount="100000" sheet="true" objects="true" scenarios="true"/>
  <mergeCells count="67">
    <mergeCell ref="E4:J6"/>
    <mergeCell ref="K4:L7"/>
    <mergeCell ref="M4:M8"/>
    <mergeCell ref="N4:N8"/>
    <mergeCell ref="O4:O8"/>
    <mergeCell ref="P4:P8"/>
    <mergeCell ref="F7:G7"/>
    <mergeCell ref="H7:I7"/>
    <mergeCell ref="F8:J8"/>
    <mergeCell ref="B10:B14"/>
    <mergeCell ref="F10:H10"/>
    <mergeCell ref="J10:J18"/>
    <mergeCell ref="K10:K18"/>
    <mergeCell ref="L10:L18"/>
    <mergeCell ref="M10:M11"/>
    <mergeCell ref="N10:N11"/>
    <mergeCell ref="O10:O11"/>
    <mergeCell ref="P10:P11"/>
    <mergeCell ref="F11:I11"/>
    <mergeCell ref="F19:H19"/>
    <mergeCell ref="J19:J24"/>
    <mergeCell ref="K19:K24"/>
    <mergeCell ref="L19:L24"/>
    <mergeCell ref="M19:M20"/>
    <mergeCell ref="N19:N20"/>
    <mergeCell ref="O19:O20"/>
    <mergeCell ref="P19:P20"/>
    <mergeCell ref="F20:H20"/>
    <mergeCell ref="F21:H21"/>
    <mergeCell ref="G22:H22"/>
    <mergeCell ref="G23:H23"/>
    <mergeCell ref="F25:H25"/>
    <mergeCell ref="J25:J31"/>
    <mergeCell ref="K25:K31"/>
    <mergeCell ref="L25:L31"/>
    <mergeCell ref="M25:M26"/>
    <mergeCell ref="N25:N26"/>
    <mergeCell ref="O25:O26"/>
    <mergeCell ref="P25:P26"/>
    <mergeCell ref="F26:H26"/>
    <mergeCell ref="F30:H30"/>
    <mergeCell ref="F31:H31"/>
    <mergeCell ref="F32:H32"/>
    <mergeCell ref="J32:J37"/>
    <mergeCell ref="K32:K37"/>
    <mergeCell ref="L32:L37"/>
    <mergeCell ref="M32:M33"/>
    <mergeCell ref="N32:N33"/>
    <mergeCell ref="O32:O33"/>
    <mergeCell ref="P32:P33"/>
    <mergeCell ref="J38:J42"/>
    <mergeCell ref="K38:K42"/>
    <mergeCell ref="L38:L42"/>
    <mergeCell ref="M38:M39"/>
    <mergeCell ref="N38:N39"/>
    <mergeCell ref="O38:O39"/>
    <mergeCell ref="P38:P39"/>
    <mergeCell ref="M45:M46"/>
    <mergeCell ref="N45:N46"/>
    <mergeCell ref="O45:O46"/>
    <mergeCell ref="P45:P46"/>
    <mergeCell ref="K49:L49"/>
    <mergeCell ref="K50:L50"/>
    <mergeCell ref="K51:L51"/>
    <mergeCell ref="K52:L52"/>
    <mergeCell ref="K53:L53"/>
    <mergeCell ref="B58:Q58"/>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R19"/>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U8" activeCellId="0" sqref="U8"/>
    </sheetView>
  </sheetViews>
  <sheetFormatPr defaultColWidth="10.71484375" defaultRowHeight="12.75" zeroHeight="false" outlineLevelRow="0" outlineLevelCol="0"/>
  <cols>
    <col collapsed="false" customWidth="true" hidden="false" outlineLevel="0" max="1" min="1" style="1" width="2.71"/>
    <col collapsed="false" customWidth="true" hidden="false" outlineLevel="0" max="2" min="2" style="1" width="22.28"/>
    <col collapsed="false" customWidth="true" hidden="false" outlineLevel="0" max="3" min="3" style="1" width="4"/>
    <col collapsed="false" customWidth="true" hidden="false" outlineLevel="0" max="4" min="4" style="1" width="3"/>
    <col collapsed="false" customWidth="true" hidden="false" outlineLevel="0" max="5" min="5" style="1" width="4"/>
    <col collapsed="false" customWidth="true" hidden="false" outlineLevel="0" max="6" min="6" style="1" width="16.28"/>
    <col collapsed="false" customWidth="true" hidden="false" outlineLevel="0" max="7" min="7" style="1" width="4"/>
    <col collapsed="false" customWidth="true" hidden="false" outlineLevel="0" max="8" min="8" style="1" width="3"/>
    <col collapsed="false" customWidth="true" hidden="false" outlineLevel="0" max="9" min="9" style="1" width="4"/>
    <col collapsed="false" customWidth="true" hidden="false" outlineLevel="0" max="10" min="10" style="1" width="17.71"/>
    <col collapsed="false" customWidth="true" hidden="false" outlineLevel="0" max="11" min="11" style="1" width="4"/>
    <col collapsed="false" customWidth="true" hidden="false" outlineLevel="0" max="12" min="12" style="1" width="3"/>
    <col collapsed="false" customWidth="true" hidden="false" outlineLevel="0" max="13" min="13" style="1" width="7.28"/>
    <col collapsed="false" customWidth="true" hidden="false" outlineLevel="0" max="14" min="14" style="1" width="21.28"/>
    <col collapsed="false" customWidth="true" hidden="false" outlineLevel="0" max="15" min="15" style="1" width="4"/>
    <col collapsed="false" customWidth="true" hidden="false" outlineLevel="0" max="16" min="16" style="1" width="3"/>
    <col collapsed="false" customWidth="true" hidden="false" outlineLevel="0" max="17" min="17" style="1" width="4"/>
    <col collapsed="false" customWidth="true" hidden="false" outlineLevel="0" max="18" min="18" style="1" width="21"/>
    <col collapsed="false" customWidth="false" hidden="false" outlineLevel="0" max="1024" min="19" style="1" width="10.71"/>
  </cols>
  <sheetData>
    <row r="1" customFormat="false" ht="12.75" hidden="false" customHeight="true" outlineLevel="0" collapsed="false">
      <c r="A1" s="2"/>
      <c r="B1" s="2"/>
      <c r="C1" s="2"/>
      <c r="D1" s="2"/>
      <c r="E1" s="2"/>
      <c r="F1" s="2"/>
      <c r="G1" s="2"/>
      <c r="H1" s="2"/>
      <c r="I1" s="2"/>
      <c r="J1" s="2"/>
      <c r="K1" s="2"/>
      <c r="L1" s="2"/>
      <c r="M1" s="2"/>
      <c r="N1" s="2"/>
      <c r="O1" s="2"/>
      <c r="P1" s="2"/>
      <c r="Q1" s="2"/>
      <c r="R1" s="2"/>
    </row>
    <row r="2" customFormat="false" ht="12.75" hidden="false" customHeight="true" outlineLevel="0" collapsed="false">
      <c r="A2" s="2"/>
      <c r="B2" s="5" t="str">
        <f aca="false">'12.lan'!D91&amp;" - "&amp;'0. Intro'!B3&amp;" "&amp;'0. Intro'!C3</f>
        <v>Common Good Balance Calculator - Version 5.06</v>
      </c>
      <c r="C2" s="311"/>
      <c r="D2" s="311"/>
      <c r="E2" s="311"/>
      <c r="F2" s="311"/>
      <c r="G2" s="28"/>
      <c r="H2" s="312"/>
      <c r="I2" s="313" t="str">
        <f aca="false">'12.lan'!D212</f>
        <v>Note: This is not a certificate.</v>
      </c>
      <c r="J2" s="313"/>
      <c r="K2" s="313"/>
      <c r="L2" s="313"/>
      <c r="M2" s="313"/>
      <c r="N2" s="313"/>
      <c r="O2" s="313"/>
      <c r="P2" s="2"/>
      <c r="Q2" s="2"/>
      <c r="R2" s="2"/>
    </row>
    <row r="3" customFormat="false" ht="5.25" hidden="false" customHeight="true" outlineLevel="0" collapsed="false">
      <c r="A3" s="2"/>
      <c r="B3" s="314" t="str">
        <f aca="false">'12.lan'!D213</f>
        <v>COMMON GOOD MATRIX</v>
      </c>
      <c r="C3" s="314"/>
      <c r="D3" s="314"/>
      <c r="E3" s="314"/>
      <c r="F3" s="314"/>
      <c r="G3" s="314"/>
      <c r="H3" s="315"/>
      <c r="I3" s="315"/>
      <c r="J3" s="315"/>
      <c r="K3" s="2"/>
      <c r="L3" s="2"/>
      <c r="M3" s="316"/>
      <c r="N3" s="316"/>
      <c r="O3" s="316"/>
      <c r="P3" s="2"/>
      <c r="Q3" s="2"/>
      <c r="R3" s="2"/>
    </row>
    <row r="4" customFormat="false" ht="15" hidden="false" customHeight="true" outlineLevel="0" collapsed="false">
      <c r="A4" s="2"/>
      <c r="B4" s="314"/>
      <c r="C4" s="314"/>
      <c r="D4" s="314"/>
      <c r="E4" s="314"/>
      <c r="F4" s="314"/>
      <c r="G4" s="314"/>
      <c r="H4" s="315"/>
      <c r="I4" s="317" t="str">
        <f aca="false">'12.lan'!D92</f>
        <v>Total Balance Score:</v>
      </c>
      <c r="J4" s="317"/>
      <c r="K4" s="318" t="n">
        <f aca="false">'3. Calc'!I4</f>
        <v>-389.047619047619</v>
      </c>
      <c r="L4" s="318"/>
      <c r="M4" s="319" t="str">
        <f aca="false">'12.lan'!D214&amp;" "&amp;'3. Calc'!$J$4&amp;'12.lan'!D215</f>
        <v>of 1000 points</v>
      </c>
      <c r="N4" s="319"/>
      <c r="O4" s="319"/>
      <c r="P4" s="2"/>
      <c r="Q4" s="2"/>
      <c r="R4" s="2"/>
    </row>
    <row r="5" customFormat="false" ht="12.75" hidden="false" customHeight="true" outlineLevel="0" collapsed="false">
      <c r="A5" s="2"/>
      <c r="B5" s="320" t="str">
        <f aca="false">'12.lan'!D82&amp;": "&amp;'1. General'!C6&amp;"; "&amp;'12.lan'!D83&amp;": "&amp;'1. General'!C12</f>
        <v>Company / Organisation: LuftGewinn; Period under review: 01.01.2019 - 31.12.2019</v>
      </c>
      <c r="C5" s="320"/>
      <c r="D5" s="320"/>
      <c r="E5" s="320"/>
      <c r="F5" s="320"/>
      <c r="G5" s="28"/>
      <c r="H5" s="312"/>
      <c r="I5" s="317"/>
      <c r="J5" s="317"/>
      <c r="K5" s="318"/>
      <c r="L5" s="318"/>
      <c r="M5" s="319"/>
      <c r="N5" s="319"/>
      <c r="O5" s="319"/>
      <c r="P5" s="2"/>
      <c r="Q5" s="2"/>
      <c r="R5" s="2"/>
    </row>
    <row r="6" customFormat="false" ht="18" hidden="false" customHeight="true" outlineLevel="0" collapsed="false">
      <c r="A6" s="2"/>
      <c r="B6" s="320"/>
      <c r="C6" s="320"/>
      <c r="D6" s="320"/>
      <c r="E6" s="320"/>
      <c r="F6" s="320"/>
      <c r="G6" s="2"/>
      <c r="H6" s="2"/>
      <c r="I6" s="2"/>
      <c r="J6" s="2"/>
      <c r="K6" s="2"/>
      <c r="L6" s="2"/>
      <c r="M6" s="321"/>
      <c r="N6" s="321"/>
      <c r="O6" s="321"/>
      <c r="P6" s="2"/>
      <c r="Q6" s="2"/>
      <c r="R6" s="2"/>
    </row>
    <row r="7" customFormat="false" ht="36" hidden="false" customHeight="true" outlineLevel="0" collapsed="false">
      <c r="A7" s="2"/>
      <c r="B7" s="322" t="str">
        <f aca="false">'12.lan'!D206</f>
        <v>Values ►
Stakekolders ▼</v>
      </c>
      <c r="C7" s="323" t="str">
        <f aca="false">'12.lan'!D216</f>
        <v>Human dignity</v>
      </c>
      <c r="D7" s="323"/>
      <c r="E7" s="323"/>
      <c r="F7" s="323"/>
      <c r="G7" s="323" t="str">
        <f aca="false">'12.lan'!D217</f>
        <v>Solidarity &amp; social justice</v>
      </c>
      <c r="H7" s="323"/>
      <c r="I7" s="323"/>
      <c r="J7" s="323"/>
      <c r="K7" s="324" t="str">
        <f aca="false">'12.lan'!D218</f>
        <v>Environmental sustainability</v>
      </c>
      <c r="L7" s="324"/>
      <c r="M7" s="324"/>
      <c r="N7" s="324"/>
      <c r="O7" s="323" t="str">
        <f aca="false">'12.lan'!D219</f>
        <v>Transparency &amp; co-determination</v>
      </c>
      <c r="P7" s="323"/>
      <c r="Q7" s="323"/>
      <c r="R7" s="323"/>
    </row>
    <row r="8" customFormat="false" ht="53.25" hidden="false" customHeight="true" outlineLevel="0" collapsed="false">
      <c r="A8" s="2"/>
      <c r="B8" s="325" t="str">
        <f aca="false">"A: "&amp;'12.lan'!D108</f>
        <v>A: Suppliers</v>
      </c>
      <c r="C8" s="326" t="str">
        <f aca="false">'12.lan'!B109</f>
        <v>A1: Human dignity in the supply chain</v>
      </c>
      <c r="D8" s="326"/>
      <c r="E8" s="326"/>
      <c r="F8" s="326"/>
      <c r="G8" s="326" t="str">
        <f aca="false">'12.lan'!B112</f>
        <v>A2: Solidarity and social justice in the supply chain</v>
      </c>
      <c r="H8" s="326"/>
      <c r="I8" s="326"/>
      <c r="J8" s="326"/>
      <c r="K8" s="326" t="str">
        <f aca="false">'12.lan'!B116</f>
        <v>A3: Environmental sustainability in the supply chain</v>
      </c>
      <c r="L8" s="326"/>
      <c r="M8" s="326"/>
      <c r="N8" s="326"/>
      <c r="O8" s="326" t="str">
        <f aca="false">'12.lan'!B119</f>
        <v>A4: Transparency &amp; co-determination in the supply chain</v>
      </c>
      <c r="P8" s="326"/>
      <c r="Q8" s="326"/>
      <c r="R8" s="326"/>
    </row>
    <row r="9" customFormat="false" ht="21" hidden="false" customHeight="true" outlineLevel="0" collapsed="false">
      <c r="A9" s="2"/>
      <c r="B9" s="325"/>
      <c r="C9" s="327" t="n">
        <f aca="false">'3. Calc'!I10</f>
        <v>-42.8571428571429</v>
      </c>
      <c r="D9" s="328" t="str">
        <f aca="false">'12.lan'!$D$214</f>
        <v>of</v>
      </c>
      <c r="E9" s="329" t="n">
        <f aca="false">'3. Calc'!J10</f>
        <v>23.8095238095238</v>
      </c>
      <c r="F9" s="330" t="n">
        <f aca="false">'3. Calc'!H10</f>
        <v>-1.8</v>
      </c>
      <c r="G9" s="327" t="n">
        <f aca="false">'3. Calc'!I13</f>
        <v>-42.8571428571429</v>
      </c>
      <c r="H9" s="328" t="str">
        <f aca="false">'12.lan'!$D$214</f>
        <v>of</v>
      </c>
      <c r="I9" s="329" t="n">
        <f aca="false">'3. Calc'!J13</f>
        <v>23.8095238095238</v>
      </c>
      <c r="J9" s="330" t="n">
        <f aca="false">'3. Calc'!H13</f>
        <v>-1.8</v>
      </c>
      <c r="K9" s="327" t="n">
        <f aca="false">'3. Calc'!I17</f>
        <v>2.38095238095238</v>
      </c>
      <c r="L9" s="328" t="str">
        <f aca="false">'12.lan'!$D$214</f>
        <v>of</v>
      </c>
      <c r="M9" s="329" t="n">
        <f aca="false">'3. Calc'!J17</f>
        <v>23.8095238095238</v>
      </c>
      <c r="N9" s="330" t="n">
        <f aca="false">'3. Calc'!H17</f>
        <v>0.1</v>
      </c>
      <c r="O9" s="327" t="n">
        <f aca="false">'3. Calc'!I20</f>
        <v>0</v>
      </c>
      <c r="P9" s="328" t="str">
        <f aca="false">'12.lan'!$D$214</f>
        <v>of</v>
      </c>
      <c r="Q9" s="329" t="n">
        <f aca="false">'3. Calc'!J20</f>
        <v>23.8095238095238</v>
      </c>
      <c r="R9" s="330" t="n">
        <f aca="false">'3. Calc'!H20</f>
        <v>0</v>
      </c>
    </row>
    <row r="10" customFormat="false" ht="45" hidden="false" customHeight="true" outlineLevel="0" collapsed="false">
      <c r="A10" s="2"/>
      <c r="B10" s="331" t="str">
        <f aca="false">"B: "&amp;'12.lan'!D122</f>
        <v>B: Owners, equity- and financial service providers</v>
      </c>
      <c r="C10" s="326" t="str">
        <f aca="false">'12.lan'!B123</f>
        <v>B1: Ethical position in relation to financial resources</v>
      </c>
      <c r="D10" s="326"/>
      <c r="E10" s="326"/>
      <c r="F10" s="326"/>
      <c r="G10" s="326" t="str">
        <f aca="false">'12.lan'!B127</f>
        <v>B2: Social position in relation to financial resources</v>
      </c>
      <c r="H10" s="326"/>
      <c r="I10" s="326"/>
      <c r="J10" s="326"/>
      <c r="K10" s="326" t="str">
        <f aca="false">'12.lan'!B130</f>
        <v>B3: Use of funds in relation to social and environmental impacts</v>
      </c>
      <c r="L10" s="326"/>
      <c r="M10" s="326"/>
      <c r="N10" s="326"/>
      <c r="O10" s="326" t="str">
        <f aca="false">'12.lan'!B134&amp;IF('9. Weighting'!I28=1,'12.lan'!D211,"")</f>
        <v>B4: Ownership and co-determination</v>
      </c>
      <c r="P10" s="326"/>
      <c r="Q10" s="326"/>
      <c r="R10" s="326"/>
    </row>
    <row r="11" customFormat="false" ht="28.5" hidden="false" customHeight="true" outlineLevel="0" collapsed="false">
      <c r="A11" s="2"/>
      <c r="B11" s="331"/>
      <c r="C11" s="327" t="n">
        <f aca="false">'3. Calc'!I24</f>
        <v>15.8730158730159</v>
      </c>
      <c r="D11" s="328" t="str">
        <f aca="false">'12.lan'!$D$214</f>
        <v>of</v>
      </c>
      <c r="E11" s="329" t="n">
        <f aca="false">'3. Calc'!J24</f>
        <v>95.2380952380952</v>
      </c>
      <c r="F11" s="330" t="n">
        <f aca="false">'3. Calc'!H24</f>
        <v>0.166666666666667</v>
      </c>
      <c r="G11" s="327" t="n">
        <f aca="false">'3. Calc'!I28</f>
        <v>0</v>
      </c>
      <c r="H11" s="328" t="str">
        <f aca="false">'12.lan'!$D$214</f>
        <v>of</v>
      </c>
      <c r="I11" s="329" t="n">
        <f aca="false">'3. Calc'!J28</f>
        <v>142.857142857143</v>
      </c>
      <c r="J11" s="330" t="n">
        <f aca="false">'3. Calc'!H28</f>
        <v>0</v>
      </c>
      <c r="K11" s="327" t="n">
        <f aca="false">'3. Calc'!I31</f>
        <v>0</v>
      </c>
      <c r="L11" s="328" t="str">
        <f aca="false">'12.lan'!$D$214</f>
        <v>of</v>
      </c>
      <c r="M11" s="329" t="n">
        <f aca="false">'3. Calc'!J31</f>
        <v>142.857142857143</v>
      </c>
      <c r="N11" s="330" t="n">
        <f aca="false">'3. Calc'!H31</f>
        <v>0</v>
      </c>
      <c r="O11" s="327" t="n">
        <f aca="false">'3. Calc'!I35</f>
        <v>0</v>
      </c>
      <c r="P11" s="328" t="str">
        <f aca="false">'12.lan'!$D$214</f>
        <v>of</v>
      </c>
      <c r="Q11" s="329" t="n">
        <f aca="false">'3. Calc'!J35</f>
        <v>47.6190476190476</v>
      </c>
      <c r="R11" s="330" t="n">
        <f aca="false">'3. Calc'!H35</f>
        <v>0</v>
      </c>
    </row>
    <row r="12" customFormat="false" ht="50.25" hidden="false" customHeight="true" outlineLevel="0" collapsed="false">
      <c r="A12" s="2"/>
      <c r="B12" s="332" t="str">
        <f aca="false">"C: "&amp;'12.lan'!D137</f>
        <v>C: Employees</v>
      </c>
      <c r="C12" s="326" t="str">
        <f aca="false">'12.lan'!B138</f>
        <v>C1: Human dignity in the workplace and working environment</v>
      </c>
      <c r="D12" s="326"/>
      <c r="E12" s="326"/>
      <c r="F12" s="326"/>
      <c r="G12" s="326" t="str">
        <f aca="false">'12.lan'!B143</f>
        <v>C2: Self-determined working arrangements</v>
      </c>
      <c r="H12" s="326"/>
      <c r="I12" s="326"/>
      <c r="J12" s="326"/>
      <c r="K12" s="326" t="str">
        <f aca="false">'12.lan'!B148</f>
        <v>C3: Environmentally-friendly behaviour of staff</v>
      </c>
      <c r="L12" s="326"/>
      <c r="M12" s="326"/>
      <c r="N12" s="326"/>
      <c r="O12" s="326" t="str">
        <f aca="false">'12.lan'!B153</f>
        <v>C4: Co-determination and transparency within the organisation</v>
      </c>
      <c r="P12" s="326"/>
      <c r="Q12" s="326"/>
      <c r="R12" s="326"/>
    </row>
    <row r="13" customFormat="false" ht="16.5" hidden="false" customHeight="true" outlineLevel="0" collapsed="false">
      <c r="A13" s="2"/>
      <c r="B13" s="332"/>
      <c r="C13" s="327" t="n">
        <f aca="false">'3. Calc'!I39</f>
        <v>0.793650793650794</v>
      </c>
      <c r="D13" s="328" t="str">
        <f aca="false">'12.lan'!$D$214</f>
        <v>of</v>
      </c>
      <c r="E13" s="329" t="n">
        <f aca="false">'3. Calc'!J39</f>
        <v>23.8095238095238</v>
      </c>
      <c r="F13" s="330" t="n">
        <f aca="false">'3. Calc'!H39</f>
        <v>0.0333333333333333</v>
      </c>
      <c r="G13" s="327" t="n">
        <f aca="false">'3. Calc'!I44</f>
        <v>-0.476190476190476</v>
      </c>
      <c r="H13" s="328" t="str">
        <f aca="false">'12.lan'!$D$214</f>
        <v>of</v>
      </c>
      <c r="I13" s="329" t="n">
        <f aca="false">'3. Calc'!J44</f>
        <v>23.8095238095238</v>
      </c>
      <c r="J13" s="330" t="n">
        <f aca="false">'3. Calc'!H44</f>
        <v>-0.02</v>
      </c>
      <c r="K13" s="327" t="n">
        <f aca="false">'3. Calc'!I49</f>
        <v>-10.7142857142857</v>
      </c>
      <c r="L13" s="328" t="str">
        <f aca="false">'12.lan'!$D$214</f>
        <v>of</v>
      </c>
      <c r="M13" s="329" t="n">
        <f aca="false">'3. Calc'!J49</f>
        <v>35.7142857142857</v>
      </c>
      <c r="N13" s="330" t="n">
        <f aca="false">'3. Calc'!H49</f>
        <v>-0.3</v>
      </c>
      <c r="O13" s="327" t="n">
        <f aca="false">'3. Calc'!I54</f>
        <v>0</v>
      </c>
      <c r="P13" s="328" t="str">
        <f aca="false">'12.lan'!$D$214</f>
        <v>of</v>
      </c>
      <c r="Q13" s="329" t="n">
        <f aca="false">'3. Calc'!J54</f>
        <v>11.9047619047619</v>
      </c>
      <c r="R13" s="330" t="n">
        <f aca="false">'3. Calc'!H54</f>
        <v>0</v>
      </c>
    </row>
    <row r="14" customFormat="false" ht="50.25" hidden="false" customHeight="true" outlineLevel="0" collapsed="false">
      <c r="A14" s="2"/>
      <c r="B14" s="332" t="str">
        <f aca="false">"D: "&amp;'12.lan'!D158</f>
        <v>D: Customers and other companies</v>
      </c>
      <c r="C14" s="326" t="str">
        <f aca="false">'12.lan'!B159</f>
        <v>D1: Ethical customer relations</v>
      </c>
      <c r="D14" s="326"/>
      <c r="E14" s="326"/>
      <c r="F14" s="326"/>
      <c r="G14" s="326" t="str">
        <f aca="false">'12.lan'!B163</f>
        <v>D2: Cooperation and solidarity with other companies</v>
      </c>
      <c r="H14" s="326"/>
      <c r="I14" s="326"/>
      <c r="J14" s="326"/>
      <c r="K14" s="326" t="str">
        <f aca="false">'12.lan'!B167</f>
        <v>D3: Impact on the environment of the use and disposal of products and services</v>
      </c>
      <c r="L14" s="326"/>
      <c r="M14" s="326"/>
      <c r="N14" s="326"/>
      <c r="O14" s="326" t="str">
        <f aca="false">'12.lan'!B171</f>
        <v>D4: Customer participation and product transparency</v>
      </c>
      <c r="P14" s="326"/>
      <c r="Q14" s="326"/>
      <c r="R14" s="326"/>
    </row>
    <row r="15" customFormat="false" ht="16.5" hidden="false" customHeight="true" outlineLevel="0" collapsed="false">
      <c r="A15" s="2"/>
      <c r="B15" s="332"/>
      <c r="C15" s="327" t="n">
        <f aca="false">'3. Calc'!I60</f>
        <v>-161.904761904762</v>
      </c>
      <c r="D15" s="328" t="str">
        <f aca="false">'12.lan'!$D$214</f>
        <v>of</v>
      </c>
      <c r="E15" s="329" t="n">
        <f aca="false">'3. Calc'!J60</f>
        <v>47.6190476190476</v>
      </c>
      <c r="F15" s="330" t="n">
        <f aca="false">'3. Calc'!H60</f>
        <v>-3.4</v>
      </c>
      <c r="G15" s="327" t="n">
        <f aca="false">'3. Calc'!I64</f>
        <v>0</v>
      </c>
      <c r="H15" s="328" t="str">
        <f aca="false">'12.lan'!$D$214</f>
        <v>of</v>
      </c>
      <c r="I15" s="329" t="n">
        <f aca="false">'3. Calc'!J64</f>
        <v>47.6190476190476</v>
      </c>
      <c r="J15" s="330" t="n">
        <f aca="false">'3. Calc'!H64</f>
        <v>0</v>
      </c>
      <c r="K15" s="327" t="n">
        <f aca="false">'3. Calc'!I68</f>
        <v>0</v>
      </c>
      <c r="L15" s="328" t="str">
        <f aca="false">'12.lan'!$D$214</f>
        <v>of</v>
      </c>
      <c r="M15" s="329" t="n">
        <f aca="false">'3. Calc'!J68</f>
        <v>47.6190476190476</v>
      </c>
      <c r="N15" s="330" t="n">
        <f aca="false">'3. Calc'!H68</f>
        <v>0</v>
      </c>
      <c r="O15" s="327" t="n">
        <f aca="false">'3. Calc'!I72</f>
        <v>-52.3809523809524</v>
      </c>
      <c r="P15" s="328" t="str">
        <f aca="false">'12.lan'!$D$214</f>
        <v>of</v>
      </c>
      <c r="Q15" s="329" t="n">
        <f aca="false">'3. Calc'!J72</f>
        <v>47.6190476190476</v>
      </c>
      <c r="R15" s="330" t="n">
        <f aca="false">'3. Calc'!H72</f>
        <v>-1.1</v>
      </c>
    </row>
    <row r="16" customFormat="false" ht="50.25" hidden="false" customHeight="true" outlineLevel="0" collapsed="false">
      <c r="A16" s="2"/>
      <c r="B16" s="332" t="str">
        <f aca="false">"E: "&amp;'12.lan'!D175</f>
        <v>E: Social environment</v>
      </c>
      <c r="C16" s="326" t="str">
        <f aca="false">'12.lan'!B176</f>
        <v>E1: Purpose of products and services and their effects on society</v>
      </c>
      <c r="D16" s="326"/>
      <c r="E16" s="326"/>
      <c r="F16" s="326"/>
      <c r="G16" s="326" t="str">
        <f aca="false">'12.lan'!B180</f>
        <v>E2: Contribution to the community</v>
      </c>
      <c r="H16" s="326"/>
      <c r="I16" s="326"/>
      <c r="J16" s="326"/>
      <c r="K16" s="326" t="str">
        <f aca="false">'12.lan'!B185</f>
        <v>E3: Reduction of environmental impact</v>
      </c>
      <c r="L16" s="326"/>
      <c r="M16" s="326"/>
      <c r="N16" s="326"/>
      <c r="O16" s="326" t="str">
        <f aca="false">'12.lan'!B189</f>
        <v>E4: Social co-determination and transparency</v>
      </c>
      <c r="P16" s="326"/>
      <c r="Q16" s="326"/>
      <c r="R16" s="326"/>
    </row>
    <row r="17" customFormat="false" ht="16.5" hidden="false" customHeight="true" outlineLevel="0" collapsed="false">
      <c r="A17" s="2"/>
      <c r="B17" s="332"/>
      <c r="C17" s="327" t="n">
        <f aca="false">'3. Calc'!I77</f>
        <v>-95.2380952380952</v>
      </c>
      <c r="D17" s="328" t="str">
        <f aca="false">'12.lan'!$D$214</f>
        <v>of</v>
      </c>
      <c r="E17" s="329" t="n">
        <f aca="false">'3. Calc'!J77</f>
        <v>47.6190476190476</v>
      </c>
      <c r="F17" s="330" t="n">
        <f aca="false">'3. Calc'!H77</f>
        <v>-2</v>
      </c>
      <c r="G17" s="327" t="n">
        <f aca="false">'3. Calc'!I81</f>
        <v>0</v>
      </c>
      <c r="H17" s="328" t="str">
        <f aca="false">'12.lan'!$D$214</f>
        <v>of</v>
      </c>
      <c r="I17" s="329" t="n">
        <f aca="false">'3. Calc'!J81</f>
        <v>71.4285714285714</v>
      </c>
      <c r="J17" s="330" t="n">
        <f aca="false">'3. Calc'!H81</f>
        <v>0</v>
      </c>
      <c r="K17" s="327" t="n">
        <f aca="false">'3. Calc'!I86</f>
        <v>-2.85714285714286</v>
      </c>
      <c r="L17" s="328" t="str">
        <f aca="false">'12.lan'!$D$214</f>
        <v>of</v>
      </c>
      <c r="M17" s="329" t="n">
        <f aca="false">'3. Calc'!J86</f>
        <v>47.6190476190476</v>
      </c>
      <c r="N17" s="330" t="n">
        <f aca="false">'3. Calc'!H86</f>
        <v>-0.06</v>
      </c>
      <c r="O17" s="327" t="n">
        <f aca="false">'3. Calc'!I90</f>
        <v>1.19047619047619</v>
      </c>
      <c r="P17" s="328" t="str">
        <f aca="false">'12.lan'!$D$214</f>
        <v>of</v>
      </c>
      <c r="Q17" s="329" t="n">
        <f aca="false">'3. Calc'!J90</f>
        <v>23.8095238095238</v>
      </c>
      <c r="R17" s="330" t="n">
        <f aca="false">'3. Calc'!H90</f>
        <v>0.05</v>
      </c>
    </row>
    <row r="19" customFormat="false" ht="12.75" hidden="false" customHeight="true" outlineLevel="0" collapsed="false">
      <c r="B19" s="333" t="str">
        <f aca="false">'12.lan'!D46</f>
        <v>Please note that the format of the numbers in the matrix is rounded</v>
      </c>
    </row>
  </sheetData>
  <sheetProtection algorithmName="SHA-512" hashValue="TU5LxeBs8IEO3zGvjW8+x9Em8fxsg0trdEOpn9ZZtEQnqH1ShHG/O9cUi9W0hN2B+T/Lz/ZMc24+566OCuXNdA==" saltValue="8uYGtds2fgrBAbawpWfVzw==" spinCount="100000" sheet="true" objects="true" scenarios="true"/>
  <mergeCells count="36">
    <mergeCell ref="I2:O2"/>
    <mergeCell ref="B3:G4"/>
    <mergeCell ref="I4:J5"/>
    <mergeCell ref="K4:L5"/>
    <mergeCell ref="M4:O5"/>
    <mergeCell ref="B5:F6"/>
    <mergeCell ref="M6:O6"/>
    <mergeCell ref="C7:F7"/>
    <mergeCell ref="G7:J7"/>
    <mergeCell ref="K7:N7"/>
    <mergeCell ref="O7:R7"/>
    <mergeCell ref="B8:B9"/>
    <mergeCell ref="C8:F8"/>
    <mergeCell ref="G8:J8"/>
    <mergeCell ref="K8:N8"/>
    <mergeCell ref="O8:R8"/>
    <mergeCell ref="B10:B11"/>
    <mergeCell ref="C10:F10"/>
    <mergeCell ref="G10:J10"/>
    <mergeCell ref="K10:N10"/>
    <mergeCell ref="O10:R10"/>
    <mergeCell ref="B12:B13"/>
    <mergeCell ref="C12:F12"/>
    <mergeCell ref="G12:J12"/>
    <mergeCell ref="K12:N12"/>
    <mergeCell ref="O12:R12"/>
    <mergeCell ref="B14:B15"/>
    <mergeCell ref="C14:F14"/>
    <mergeCell ref="G14:J14"/>
    <mergeCell ref="K14:N14"/>
    <mergeCell ref="O14:R14"/>
    <mergeCell ref="B16:B17"/>
    <mergeCell ref="C16:F16"/>
    <mergeCell ref="G16:J16"/>
    <mergeCell ref="K16:N16"/>
    <mergeCell ref="O16:R16"/>
  </mergeCells>
  <conditionalFormatting sqref="F9 J9 N9 R9 R11 N11 J11 F11 F13 J13 N13 R13 R15 N15 J15 F15 F17 J17 N17 R17">
    <cfRule type="cellIs" priority="2" operator="lessThan" aboveAverage="0" equalAverage="0" bottom="0" percent="0" rank="0" text="" dxfId="21">
      <formula>0</formula>
    </cfRule>
  </conditionalFormatting>
  <printOptions headings="false" gridLines="false" gridLinesSet="true" horizontalCentered="false" verticalCentered="false"/>
  <pageMargins left="0.354166666666667" right="0.590277777777778" top="0.354166666666667" bottom="0.59027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0" colorId="64" zoomScale="110" zoomScaleNormal="110" zoomScalePageLayoutView="100" workbookViewId="0">
      <selection pane="topLeft" activeCell="F18" activeCellId="0" sqref="F18"/>
    </sheetView>
  </sheetViews>
  <sheetFormatPr defaultColWidth="10.71484375" defaultRowHeight="13.5" zeroHeight="false" outlineLevelRow="0" outlineLevelCol="0"/>
  <cols>
    <col collapsed="false" customWidth="true" hidden="false" outlineLevel="0" max="1" min="1" style="334" width="2.71"/>
    <col collapsed="false" customWidth="true" hidden="false" outlineLevel="0" max="2" min="2" style="334" width="49.85"/>
    <col collapsed="false" customWidth="true" hidden="false" outlineLevel="0" max="3" min="3" style="334" width="7.28"/>
    <col collapsed="false" customWidth="true" hidden="false" outlineLevel="0" max="4" min="4" style="335" width="5.28"/>
    <col collapsed="false" customWidth="true" hidden="false" outlineLevel="0" max="5" min="5" style="334" width="6.71"/>
    <col collapsed="false" customWidth="true" hidden="false" outlineLevel="0" max="6" min="6" style="336" width="15"/>
    <col collapsed="false" customWidth="false" hidden="false" outlineLevel="0" max="1024" min="7" style="334" width="10.71"/>
  </cols>
  <sheetData>
    <row r="1" customFormat="false" ht="13.5" hidden="false" customHeight="true" outlineLevel="0" collapsed="false">
      <c r="A1" s="337"/>
      <c r="B1" s="338"/>
      <c r="C1" s="339"/>
      <c r="D1" s="338"/>
      <c r="E1" s="340"/>
      <c r="F1" s="339"/>
    </row>
    <row r="2" customFormat="false" ht="13.5" hidden="false" customHeight="true" outlineLevel="0" collapsed="false">
      <c r="A2" s="337"/>
      <c r="B2" s="341" t="str">
        <f aca="false">'12.lan'!D91&amp;" - "&amp;'0. Intro'!B3&amp;" "&amp;'0. Intro'!C3</f>
        <v>Common Good Balance Calculator - Version 5.06</v>
      </c>
      <c r="C2" s="341"/>
      <c r="D2" s="341"/>
      <c r="E2" s="341"/>
      <c r="F2" s="341"/>
    </row>
    <row r="3" customFormat="false" ht="7.5" hidden="false" customHeight="true" outlineLevel="0" collapsed="false">
      <c r="A3" s="337"/>
      <c r="B3" s="342" t="str">
        <f aca="false">'12.lan'!D241&amp;'1. General'!C6</f>
        <v>Values star for LuftGewinn</v>
      </c>
      <c r="C3" s="342"/>
      <c r="D3" s="342"/>
      <c r="E3" s="342"/>
      <c r="F3" s="342"/>
    </row>
    <row r="4" customFormat="false" ht="15" hidden="false" customHeight="true" outlineLevel="0" collapsed="false">
      <c r="A4" s="337"/>
      <c r="B4" s="342"/>
      <c r="C4" s="342"/>
      <c r="D4" s="342"/>
      <c r="E4" s="342"/>
      <c r="F4" s="342"/>
    </row>
    <row r="5" customFormat="false" ht="30" hidden="false" customHeight="true" outlineLevel="0" collapsed="false">
      <c r="A5" s="337"/>
      <c r="B5" s="343"/>
      <c r="C5" s="339"/>
      <c r="D5" s="338"/>
      <c r="E5" s="340"/>
      <c r="F5" s="339"/>
    </row>
    <row r="6" customFormat="false" ht="13.5" hidden="false" customHeight="true" outlineLevel="0" collapsed="false">
      <c r="A6" s="337"/>
      <c r="B6" s="343"/>
      <c r="C6" s="339"/>
      <c r="D6" s="338"/>
      <c r="E6" s="340"/>
      <c r="F6" s="339"/>
    </row>
    <row r="7" customFormat="false" ht="13.5" hidden="false" customHeight="true" outlineLevel="0" collapsed="false">
      <c r="A7" s="337"/>
      <c r="B7" s="343"/>
      <c r="C7" s="344"/>
      <c r="D7" s="344"/>
      <c r="E7" s="343"/>
      <c r="F7" s="337"/>
    </row>
    <row r="8" customFormat="false" ht="15" hidden="false" customHeight="true" outlineLevel="0" collapsed="false">
      <c r="A8" s="337"/>
      <c r="B8" s="339"/>
      <c r="C8" s="339"/>
      <c r="D8" s="338"/>
      <c r="E8" s="340"/>
      <c r="F8" s="339"/>
    </row>
    <row r="9" customFormat="false" ht="30" hidden="false" customHeight="true" outlineLevel="0" collapsed="false">
      <c r="A9" s="337"/>
      <c r="B9" s="345"/>
      <c r="C9" s="337"/>
      <c r="D9" s="338"/>
      <c r="E9" s="337"/>
      <c r="F9" s="339"/>
    </row>
    <row r="10" customFormat="false" ht="30" hidden="false" customHeight="true" outlineLevel="0" collapsed="false">
      <c r="A10" s="337"/>
      <c r="B10" s="345"/>
      <c r="C10" s="337"/>
      <c r="D10" s="338"/>
      <c r="E10" s="337"/>
      <c r="F10" s="339"/>
    </row>
    <row r="11" customFormat="false" ht="30" hidden="false" customHeight="true" outlineLevel="0" collapsed="false">
      <c r="A11" s="337"/>
      <c r="B11" s="345"/>
      <c r="C11" s="337"/>
      <c r="D11" s="338"/>
      <c r="E11" s="337"/>
      <c r="F11" s="339"/>
    </row>
    <row r="12" customFormat="false" ht="30" hidden="false" customHeight="true" outlineLevel="0" collapsed="false">
      <c r="A12" s="337"/>
      <c r="B12" s="345"/>
      <c r="C12" s="337"/>
      <c r="D12" s="338"/>
      <c r="E12" s="337"/>
      <c r="F12" s="339"/>
    </row>
    <row r="13" customFormat="false" ht="30" hidden="false" customHeight="true" outlineLevel="0" collapsed="false">
      <c r="A13" s="337"/>
      <c r="B13" s="345"/>
      <c r="C13" s="337"/>
      <c r="D13" s="338"/>
      <c r="E13" s="337"/>
      <c r="F13" s="339"/>
    </row>
    <row r="14" customFormat="false" ht="13.5" hidden="false" customHeight="true" outlineLevel="0" collapsed="false">
      <c r="A14" s="337"/>
      <c r="B14" s="337"/>
      <c r="C14" s="337"/>
      <c r="D14" s="338"/>
      <c r="E14" s="337"/>
      <c r="F14" s="339"/>
    </row>
    <row r="15" customFormat="false" ht="15" hidden="false" customHeight="true" outlineLevel="0" collapsed="false">
      <c r="A15" s="337"/>
      <c r="B15" s="346"/>
      <c r="C15" s="346"/>
      <c r="D15" s="346"/>
      <c r="E15" s="346"/>
      <c r="F15" s="346"/>
    </row>
    <row r="16" customFormat="false" ht="93.75" hidden="false" customHeight="true" outlineLevel="0" collapsed="false">
      <c r="A16" s="337"/>
      <c r="B16" s="347"/>
      <c r="C16" s="347"/>
      <c r="D16" s="347"/>
      <c r="E16" s="347"/>
      <c r="F16" s="347"/>
    </row>
    <row r="17" customFormat="false" ht="30" hidden="false" customHeight="true" outlineLevel="0" collapsed="false">
      <c r="A17" s="337"/>
      <c r="B17" s="348" t="str">
        <f aca="false">'12.lan'!D221</f>
        <v>BALANCE OVERVIEW</v>
      </c>
      <c r="C17" s="348"/>
      <c r="D17" s="348"/>
      <c r="E17" s="348"/>
      <c r="F17" s="348"/>
    </row>
    <row r="18" customFormat="false" ht="26.25" hidden="false" customHeight="true" outlineLevel="0" collapsed="false">
      <c r="A18" s="337"/>
      <c r="B18" s="349" t="str">
        <f aca="false">'12.lan'!D216</f>
        <v>Human dignity</v>
      </c>
      <c r="C18" s="350" t="n">
        <f aca="false">'4. ECG-Matrix'!C9+'4. ECG-Matrix'!C11+'4. ECG-Matrix'!C13+'4. ECG-Matrix'!C15+'4. ECG-Matrix'!C17</f>
        <v>-283.333333333333</v>
      </c>
      <c r="D18" s="351" t="str">
        <f aca="false">'12.lan'!$D$214</f>
        <v>of</v>
      </c>
      <c r="E18" s="352" t="n">
        <f aca="false">'4. ECG-Matrix'!E9+'4. ECG-Matrix'!E11+'4. ECG-Matrix'!E13+'4. ECG-Matrix'!E15+'4. ECG-Matrix'!E17</f>
        <v>238.095238095238</v>
      </c>
      <c r="F18" s="353" t="n">
        <f aca="false">C18/E18</f>
        <v>-1.19</v>
      </c>
      <c r="G18" s="354" t="n">
        <f aca="false">IF(F18&lt;0,0,F18)</f>
        <v>0</v>
      </c>
    </row>
    <row r="19" customFormat="false" ht="26.25" hidden="false" customHeight="true" outlineLevel="0" collapsed="false">
      <c r="A19" s="337"/>
      <c r="B19" s="349" t="str">
        <f aca="false">'12.lan'!D217</f>
        <v>Solidarity &amp; social justice</v>
      </c>
      <c r="C19" s="350" t="n">
        <f aca="false">'4. ECG-Matrix'!G9+'4. ECG-Matrix'!G11+'4. ECG-Matrix'!G13+'4. ECG-Matrix'!G15+'4. ECG-Matrix'!G17</f>
        <v>-43.3333333333333</v>
      </c>
      <c r="D19" s="351" t="str">
        <f aca="false">'12.lan'!$D$214</f>
        <v>of</v>
      </c>
      <c r="E19" s="352" t="n">
        <f aca="false">'4. ECG-Matrix'!I9+'4. ECG-Matrix'!I11+'4. ECG-Matrix'!I13+'4. ECG-Matrix'!I15+'4. ECG-Matrix'!I17</f>
        <v>309.52380952381</v>
      </c>
      <c r="F19" s="353" t="n">
        <f aca="false">C19/E19</f>
        <v>-0.14</v>
      </c>
      <c r="G19" s="354" t="n">
        <f aca="false">IF(F19&lt;0,0,F19)</f>
        <v>0</v>
      </c>
    </row>
    <row r="20" customFormat="false" ht="26.25" hidden="false" customHeight="true" outlineLevel="0" collapsed="false">
      <c r="A20" s="337"/>
      <c r="B20" s="349" t="str">
        <f aca="false">'12.lan'!D218</f>
        <v>Environmental sustainability</v>
      </c>
      <c r="C20" s="350" t="n">
        <f aca="false">'4. ECG-Matrix'!K9+'4. ECG-Matrix'!K11+'4. ECG-Matrix'!K13+'4. ECG-Matrix'!K15+'4. ECG-Matrix'!K17</f>
        <v>-11.1904761904762</v>
      </c>
      <c r="D20" s="351" t="str">
        <f aca="false">'12.lan'!$D$214</f>
        <v>of</v>
      </c>
      <c r="E20" s="352" t="n">
        <f aca="false">'4. ECG-Matrix'!M9+'4. ECG-Matrix'!M11+'4. ECG-Matrix'!M13+'4. ECG-Matrix'!M15+'4. ECG-Matrix'!M17</f>
        <v>297.619047619048</v>
      </c>
      <c r="F20" s="353" t="n">
        <f aca="false">C20/E20</f>
        <v>-0.0376</v>
      </c>
      <c r="G20" s="354" t="n">
        <f aca="false">IF(F20&lt;0,0,F20)</f>
        <v>0</v>
      </c>
    </row>
    <row r="21" customFormat="false" ht="26.25" hidden="false" customHeight="true" outlineLevel="0" collapsed="false">
      <c r="A21" s="337"/>
      <c r="B21" s="349" t="str">
        <f aca="false">'12.lan'!D219</f>
        <v>Transparency &amp; co-determination</v>
      </c>
      <c r="C21" s="350" t="n">
        <f aca="false">'4. ECG-Matrix'!O9+'4. ECG-Matrix'!O11+'4. ECG-Matrix'!O13+'4. ECG-Matrix'!O15+'4. ECG-Matrix'!O17</f>
        <v>-51.1904761904762</v>
      </c>
      <c r="D21" s="351" t="str">
        <f aca="false">'12.lan'!$D$214</f>
        <v>of</v>
      </c>
      <c r="E21" s="352" t="n">
        <f aca="false">'4. ECG-Matrix'!Q9+'4. ECG-Matrix'!Q11+'4. ECG-Matrix'!Q13+'4. ECG-Matrix'!Q15+'4. ECG-Matrix'!Q17</f>
        <v>154.761904761905</v>
      </c>
      <c r="F21" s="353" t="n">
        <f aca="false">C21/E21</f>
        <v>-0.330769230769231</v>
      </c>
      <c r="G21" s="354" t="n">
        <f aca="false">IF(F21&lt;0,0,F21)</f>
        <v>0</v>
      </c>
    </row>
    <row r="22" customFormat="false" ht="30" hidden="false" customHeight="true" outlineLevel="0" collapsed="false">
      <c r="A22" s="337"/>
      <c r="B22" s="355" t="str">
        <f aca="false">'12.lan'!D228</f>
        <v>TOTAL</v>
      </c>
      <c r="C22" s="356" t="n">
        <f aca="false">'3. Calc'!I4</f>
        <v>-389.047619047619</v>
      </c>
      <c r="D22" s="357" t="str">
        <f aca="false">'12.lan'!$D$214</f>
        <v>of</v>
      </c>
      <c r="E22" s="358" t="n">
        <f aca="false">'3. Calc'!J4</f>
        <v>1000</v>
      </c>
      <c r="F22" s="359" t="n">
        <f aca="false">C22/E22</f>
        <v>-0.389047619047619</v>
      </c>
    </row>
    <row r="23" customFormat="false" ht="13.5" hidden="false" customHeight="true" outlineLevel="0" collapsed="false">
      <c r="A23" s="337"/>
      <c r="B23" s="337"/>
      <c r="C23" s="337"/>
      <c r="D23" s="338"/>
      <c r="E23" s="337"/>
      <c r="F23" s="339"/>
    </row>
  </sheetData>
  <sheetProtection algorithmName="SHA-512" hashValue="ftAjvjVlWU47w3xv13ikVT7L8hMqUqrKCXnIk7X/qZxeO1Nkx2R383DbK1+CWMY8RdrbSPq8wmbHfnm8mpH4qw==" saltValue="FPwf53U6CWmcQ7HHBgzu0g==" spinCount="100000" sheet="true" objects="true" scenarios="true"/>
  <mergeCells count="5">
    <mergeCell ref="B2:F2"/>
    <mergeCell ref="B3:F4"/>
    <mergeCell ref="B15:F15"/>
    <mergeCell ref="B16:F16"/>
    <mergeCell ref="B17:F17"/>
  </mergeCells>
  <conditionalFormatting sqref="F18:F21">
    <cfRule type="cellIs" priority="2" operator="lessThan" aboveAverage="0" equalAverage="0" bottom="0" percent="0" rank="0" text="" dxfId="22">
      <formula>0</formula>
    </cfRule>
  </conditionalFormatting>
  <conditionalFormatting sqref="F22">
    <cfRule type="cellIs" priority="3" operator="lessThan" aboveAverage="0" equalAverage="0" bottom="0" percent="0" rank="0" text="" dxfId="23">
      <formula>0</formula>
    </cfRule>
  </conditionalFormatting>
  <printOptions headings="false" gridLines="false" gridLinesSet="true" horizontalCentered="false" verticalCentered="false"/>
  <pageMargins left="0.579861111111111" right="0.779861111111111"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0" colorId="64" zoomScale="110" zoomScaleNormal="110" zoomScalePageLayoutView="100" workbookViewId="0">
      <selection pane="topLeft" activeCell="C22" activeCellId="0" sqref="C22"/>
    </sheetView>
  </sheetViews>
  <sheetFormatPr defaultColWidth="10.71484375" defaultRowHeight="13.5" zeroHeight="false" outlineLevelRow="0" outlineLevelCol="0"/>
  <cols>
    <col collapsed="false" customWidth="true" hidden="false" outlineLevel="0" max="1" min="1" style="334" width="2.71"/>
    <col collapsed="false" customWidth="true" hidden="false" outlineLevel="0" max="2" min="2" style="334" width="54.28"/>
    <col collapsed="false" customWidth="true" hidden="false" outlineLevel="0" max="3" min="3" style="334" width="7.28"/>
    <col collapsed="false" customWidth="true" hidden="false" outlineLevel="0" max="4" min="4" style="335" width="5.28"/>
    <col collapsed="false" customWidth="true" hidden="false" outlineLevel="0" max="5" min="5" style="334" width="6.71"/>
    <col collapsed="false" customWidth="true" hidden="false" outlineLevel="0" max="6" min="6" style="336" width="15"/>
    <col collapsed="false" customWidth="false" hidden="false" outlineLevel="0" max="1024" min="7" style="334" width="10.71"/>
  </cols>
  <sheetData>
    <row r="1" customFormat="false" ht="13.5" hidden="false" customHeight="true" outlineLevel="0" collapsed="false">
      <c r="A1" s="337"/>
      <c r="B1" s="338"/>
      <c r="C1" s="339"/>
      <c r="D1" s="338"/>
      <c r="E1" s="340"/>
      <c r="F1" s="339"/>
    </row>
    <row r="2" customFormat="false" ht="13.5" hidden="false" customHeight="true" outlineLevel="0" collapsed="false">
      <c r="A2" s="337"/>
      <c r="B2" s="341" t="str">
        <f aca="false">'12.lan'!D91&amp;" - "&amp;'0. Intro'!B3&amp;" "&amp;'0. Intro'!C3</f>
        <v>Common Good Balance Calculator - Version 5.06</v>
      </c>
      <c r="C2" s="341"/>
      <c r="D2" s="341"/>
      <c r="E2" s="341"/>
      <c r="F2" s="341"/>
    </row>
    <row r="3" customFormat="false" ht="7.5" hidden="false" customHeight="true" outlineLevel="0" collapsed="false">
      <c r="A3" s="337"/>
      <c r="B3" s="342" t="str">
        <f aca="false">'12.lan'!D242&amp;'1. General'!C6</f>
        <v>Group star for LuftGewinn</v>
      </c>
      <c r="C3" s="342"/>
      <c r="D3" s="342"/>
      <c r="E3" s="342"/>
      <c r="F3" s="342"/>
    </row>
    <row r="4" customFormat="false" ht="15" hidden="false" customHeight="true" outlineLevel="0" collapsed="false">
      <c r="A4" s="337"/>
      <c r="B4" s="342"/>
      <c r="C4" s="342"/>
      <c r="D4" s="342"/>
      <c r="E4" s="342"/>
      <c r="F4" s="342"/>
    </row>
    <row r="5" customFormat="false" ht="30" hidden="false" customHeight="true" outlineLevel="0" collapsed="false">
      <c r="A5" s="337"/>
      <c r="B5" s="343"/>
      <c r="C5" s="339"/>
      <c r="D5" s="338"/>
      <c r="E5" s="340"/>
      <c r="F5" s="339"/>
    </row>
    <row r="6" customFormat="false" ht="13.5" hidden="false" customHeight="true" outlineLevel="0" collapsed="false">
      <c r="A6" s="337"/>
      <c r="B6" s="343"/>
      <c r="C6" s="339"/>
      <c r="D6" s="338"/>
      <c r="E6" s="340"/>
      <c r="F6" s="339"/>
    </row>
    <row r="7" customFormat="false" ht="13.5" hidden="false" customHeight="true" outlineLevel="0" collapsed="false">
      <c r="A7" s="337"/>
      <c r="B7" s="343"/>
      <c r="C7" s="344"/>
      <c r="D7" s="344"/>
      <c r="E7" s="343"/>
      <c r="F7" s="337"/>
    </row>
    <row r="8" customFormat="false" ht="15" hidden="false" customHeight="true" outlineLevel="0" collapsed="false">
      <c r="A8" s="337"/>
      <c r="B8" s="339"/>
      <c r="C8" s="339"/>
      <c r="D8" s="338"/>
      <c r="E8" s="340"/>
      <c r="F8" s="339"/>
    </row>
    <row r="9" customFormat="false" ht="30" hidden="false" customHeight="true" outlineLevel="0" collapsed="false">
      <c r="A9" s="337"/>
      <c r="B9" s="345"/>
      <c r="C9" s="337"/>
      <c r="D9" s="338"/>
      <c r="E9" s="337"/>
      <c r="F9" s="339"/>
    </row>
    <row r="10" customFormat="false" ht="30" hidden="false" customHeight="true" outlineLevel="0" collapsed="false">
      <c r="A10" s="337"/>
      <c r="B10" s="345"/>
      <c r="C10" s="337"/>
      <c r="D10" s="338"/>
      <c r="E10" s="337"/>
      <c r="F10" s="339"/>
    </row>
    <row r="11" customFormat="false" ht="30" hidden="false" customHeight="true" outlineLevel="0" collapsed="false">
      <c r="A11" s="337"/>
      <c r="B11" s="345"/>
      <c r="C11" s="337"/>
      <c r="D11" s="338"/>
      <c r="E11" s="337"/>
      <c r="F11" s="339"/>
    </row>
    <row r="12" customFormat="false" ht="30" hidden="false" customHeight="true" outlineLevel="0" collapsed="false">
      <c r="A12" s="337"/>
      <c r="B12" s="345"/>
      <c r="C12" s="337"/>
      <c r="D12" s="338"/>
      <c r="E12" s="337"/>
      <c r="F12" s="339"/>
    </row>
    <row r="13" customFormat="false" ht="30" hidden="false" customHeight="true" outlineLevel="0" collapsed="false">
      <c r="A13" s="337"/>
      <c r="B13" s="345"/>
      <c r="C13" s="337"/>
      <c r="D13" s="338"/>
      <c r="E13" s="337"/>
      <c r="F13" s="339"/>
    </row>
    <row r="14" customFormat="false" ht="13.5" hidden="false" customHeight="true" outlineLevel="0" collapsed="false">
      <c r="A14" s="337"/>
      <c r="B14" s="337"/>
      <c r="C14" s="337"/>
      <c r="D14" s="338"/>
      <c r="E14" s="337"/>
      <c r="F14" s="339"/>
    </row>
    <row r="15" customFormat="false" ht="15" hidden="false" customHeight="true" outlineLevel="0" collapsed="false">
      <c r="A15" s="337"/>
      <c r="B15" s="346"/>
      <c r="C15" s="346"/>
      <c r="D15" s="346"/>
      <c r="E15" s="346"/>
      <c r="F15" s="346"/>
    </row>
    <row r="16" customFormat="false" ht="93.75" hidden="false" customHeight="true" outlineLevel="0" collapsed="false">
      <c r="A16" s="337"/>
      <c r="B16" s="347"/>
      <c r="C16" s="347"/>
      <c r="D16" s="347"/>
      <c r="E16" s="347"/>
      <c r="F16" s="347"/>
    </row>
    <row r="17" customFormat="false" ht="30" hidden="false" customHeight="true" outlineLevel="0" collapsed="false">
      <c r="A17" s="337"/>
      <c r="B17" s="348" t="str">
        <f aca="false">'12.lan'!D221</f>
        <v>BALANCE OVERVIEW</v>
      </c>
      <c r="C17" s="348"/>
      <c r="D17" s="348"/>
      <c r="E17" s="348"/>
      <c r="F17" s="348"/>
    </row>
    <row r="18" customFormat="false" ht="26.25" hidden="false" customHeight="true" outlineLevel="0" collapsed="false">
      <c r="A18" s="337"/>
      <c r="B18" s="349" t="str">
        <f aca="false">'12.lan'!D108</f>
        <v>Suppliers</v>
      </c>
      <c r="C18" s="350" t="n">
        <f aca="false">'3. Calc'!I9</f>
        <v>-83.3333333333333</v>
      </c>
      <c r="D18" s="351" t="str">
        <f aca="false">'12.lan'!$D$214</f>
        <v>of</v>
      </c>
      <c r="E18" s="352" t="n">
        <f aca="false">'3. Calc'!J9</f>
        <v>95.2380952380952</v>
      </c>
      <c r="F18" s="353" t="n">
        <f aca="false">C18/E18</f>
        <v>-0.875</v>
      </c>
      <c r="G18" s="354" t="n">
        <f aca="false">IF(F18&lt;0,0,F18)</f>
        <v>0</v>
      </c>
    </row>
    <row r="19" customFormat="false" ht="26.25" hidden="false" customHeight="true" outlineLevel="0" collapsed="false">
      <c r="A19" s="337"/>
      <c r="B19" s="349" t="str">
        <f aca="false">'12.lan'!D122</f>
        <v>Owners, equity- and financial service providers</v>
      </c>
      <c r="C19" s="350" t="n">
        <f aca="false">'3. Calc'!I23</f>
        <v>15.8730158730159</v>
      </c>
      <c r="D19" s="351" t="str">
        <f aca="false">'12.lan'!$D$214</f>
        <v>of</v>
      </c>
      <c r="E19" s="352" t="n">
        <f aca="false">'3. Calc'!J23</f>
        <v>428.571428571429</v>
      </c>
      <c r="F19" s="353" t="n">
        <f aca="false">C19/E19</f>
        <v>0.037037037037037</v>
      </c>
      <c r="G19" s="354" t="n">
        <f aca="false">IF(F19&lt;0,0,F19)</f>
        <v>0.037037037037037</v>
      </c>
    </row>
    <row r="20" customFormat="false" ht="26.25" hidden="false" customHeight="true" outlineLevel="0" collapsed="false">
      <c r="A20" s="337"/>
      <c r="B20" s="349" t="str">
        <f aca="false">'12.lan'!D137</f>
        <v>Employees</v>
      </c>
      <c r="C20" s="350" t="n">
        <f aca="false">'3. Calc'!I38</f>
        <v>-10.3968253968254</v>
      </c>
      <c r="D20" s="351" t="str">
        <f aca="false">'12.lan'!$D$214</f>
        <v>of</v>
      </c>
      <c r="E20" s="352" t="n">
        <f aca="false">'3. Calc'!J38</f>
        <v>95.2380952380952</v>
      </c>
      <c r="F20" s="353" t="n">
        <f aca="false">C20/E20</f>
        <v>-0.109166666666667</v>
      </c>
      <c r="G20" s="354" t="n">
        <f aca="false">IF(F20&lt;0,0,F20)</f>
        <v>0</v>
      </c>
    </row>
    <row r="21" customFormat="false" ht="26.25" hidden="false" customHeight="true" outlineLevel="0" collapsed="false">
      <c r="A21" s="337"/>
      <c r="B21" s="349" t="str">
        <f aca="false">'12.lan'!D158</f>
        <v>Customers and other companies</v>
      </c>
      <c r="C21" s="350" t="n">
        <f aca="false">'3. Calc'!I59</f>
        <v>-214.285714285714</v>
      </c>
      <c r="D21" s="351" t="str">
        <f aca="false">'12.lan'!$D$214</f>
        <v>of</v>
      </c>
      <c r="E21" s="352" t="n">
        <f aca="false">'3. Calc'!J59</f>
        <v>190.47619047619</v>
      </c>
      <c r="F21" s="353" t="n">
        <f aca="false">C21/E21</f>
        <v>-1.125</v>
      </c>
      <c r="G21" s="354" t="n">
        <f aca="false">IF(F21&lt;0,0,F21)</f>
        <v>0</v>
      </c>
    </row>
    <row r="22" customFormat="false" ht="26.25" hidden="false" customHeight="true" outlineLevel="0" collapsed="false">
      <c r="A22" s="337"/>
      <c r="B22" s="349" t="str">
        <f aca="false">'12.lan'!D175</f>
        <v>Social environment</v>
      </c>
      <c r="C22" s="350" t="n">
        <f aca="false">'3. Calc'!I76</f>
        <v>-96.9047619047619</v>
      </c>
      <c r="D22" s="351" t="str">
        <f aca="false">'12.lan'!$D$214</f>
        <v>of</v>
      </c>
      <c r="E22" s="352" t="n">
        <f aca="false">'3. Calc'!J76</f>
        <v>190.47619047619</v>
      </c>
      <c r="F22" s="353" t="n">
        <f aca="false">C22/E22</f>
        <v>-0.50875</v>
      </c>
      <c r="G22" s="354" t="n">
        <f aca="false">IF(F22&lt;0,0,F22)</f>
        <v>0</v>
      </c>
    </row>
    <row r="23" customFormat="false" ht="30" hidden="false" customHeight="true" outlineLevel="0" collapsed="false">
      <c r="A23" s="337"/>
      <c r="B23" s="355" t="str">
        <f aca="false">'12.lan'!D228</f>
        <v>TOTAL</v>
      </c>
      <c r="C23" s="356" t="n">
        <f aca="false">'3. Calc'!I4</f>
        <v>-389.047619047619</v>
      </c>
      <c r="D23" s="357" t="str">
        <f aca="false">'12.lan'!$D$214</f>
        <v>of</v>
      </c>
      <c r="E23" s="358" t="n">
        <f aca="false">'3. Calc'!J4</f>
        <v>1000</v>
      </c>
      <c r="F23" s="359" t="n">
        <f aca="false">C23/E23</f>
        <v>-0.389047619047619</v>
      </c>
    </row>
    <row r="24" customFormat="false" ht="13.5" hidden="false" customHeight="true" outlineLevel="0" collapsed="false">
      <c r="A24" s="337"/>
      <c r="B24" s="337"/>
      <c r="C24" s="337"/>
      <c r="D24" s="338"/>
      <c r="E24" s="337"/>
      <c r="F24" s="339"/>
    </row>
  </sheetData>
  <sheetProtection algorithmName="SHA-512" hashValue="/1d2kVfPc2Totwtp8rAbKabs4nHbSKWcBe7l70Aotb/HximOzGmAYTKsBGtsou99QDGK3mXwTJ+rlGZGAWBYzg==" saltValue="bIRcYzjrq+HQ8+KPLsvlug==" spinCount="100000" sheet="true" objects="true" scenarios="true"/>
  <mergeCells count="5">
    <mergeCell ref="B2:F2"/>
    <mergeCell ref="B3:F4"/>
    <mergeCell ref="B15:F15"/>
    <mergeCell ref="B16:F16"/>
    <mergeCell ref="B17:F17"/>
  </mergeCells>
  <conditionalFormatting sqref="F18:F22">
    <cfRule type="cellIs" priority="2" operator="lessThan" aboveAverage="0" equalAverage="0" bottom="0" percent="0" rank="0" text="" dxfId="24">
      <formula>0</formula>
    </cfRule>
  </conditionalFormatting>
  <conditionalFormatting sqref="F23">
    <cfRule type="cellIs" priority="3" operator="lessThan" aboveAverage="0" equalAverage="0" bottom="0" percent="0" rank="0" text="" dxfId="25">
      <formula>0</formula>
    </cfRule>
  </conditionalFormatting>
  <printOptions headings="false" gridLines="false" gridLinesSet="true" horizontalCentered="false" verticalCentered="false"/>
  <pageMargins left="0.579861111111111" right="0.779861111111111"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39"/>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C36" activeCellId="0" sqref="C36"/>
    </sheetView>
  </sheetViews>
  <sheetFormatPr defaultColWidth="10.71484375" defaultRowHeight="13.5" zeroHeight="false" outlineLevelRow="0" outlineLevelCol="0"/>
  <cols>
    <col collapsed="false" customWidth="true" hidden="false" outlineLevel="0" max="1" min="1" style="334" width="2.71"/>
    <col collapsed="false" customWidth="true" hidden="false" outlineLevel="0" max="2" min="2" style="334" width="49.85"/>
    <col collapsed="false" customWidth="true" hidden="false" outlineLevel="0" max="3" min="3" style="334" width="7.28"/>
    <col collapsed="false" customWidth="true" hidden="false" outlineLevel="0" max="4" min="4" style="335" width="5.28"/>
    <col collapsed="false" customWidth="true" hidden="false" outlineLevel="0" max="5" min="5" style="334" width="6.71"/>
    <col collapsed="false" customWidth="true" hidden="false" outlineLevel="0" max="6" min="6" style="336" width="15"/>
    <col collapsed="false" customWidth="false" hidden="false" outlineLevel="0" max="7" min="7" style="334" width="10.71"/>
    <col collapsed="false" customWidth="true" hidden="false" outlineLevel="0" max="8" min="8" style="334" width="43.28"/>
    <col collapsed="false" customWidth="false" hidden="false" outlineLevel="0" max="33" min="9" style="334" width="10.71"/>
    <col collapsed="false" customWidth="false" hidden="false" outlineLevel="0" max="34" min="34" style="335" width="10.71"/>
    <col collapsed="false" customWidth="false" hidden="false" outlineLevel="0" max="1024" min="35" style="334" width="10.71"/>
  </cols>
  <sheetData>
    <row r="1" customFormat="false" ht="13.5" hidden="false" customHeight="true" outlineLevel="0" collapsed="false">
      <c r="A1" s="337"/>
      <c r="B1" s="338"/>
      <c r="C1" s="339"/>
      <c r="D1" s="338"/>
      <c r="E1" s="340"/>
      <c r="F1" s="339"/>
    </row>
    <row r="2" customFormat="false" ht="13.5" hidden="false" customHeight="true" outlineLevel="0" collapsed="false">
      <c r="A2" s="337"/>
      <c r="B2" s="341" t="str">
        <f aca="false">'12.lan'!D91&amp;" - "&amp;'0. Intro'!B3&amp;" "&amp;'0. Intro'!C3</f>
        <v>Common Good Balance Calculator - Version 5.06</v>
      </c>
      <c r="C2" s="341"/>
      <c r="D2" s="341"/>
      <c r="E2" s="341"/>
      <c r="F2" s="341"/>
    </row>
    <row r="3" customFormat="false" ht="7.5" hidden="false" customHeight="true" outlineLevel="0" collapsed="false">
      <c r="A3" s="337"/>
      <c r="B3" s="342" t="str">
        <f aca="false">'12.lan'!D243&amp;'1. General'!C6</f>
        <v>Theme star for LuftGewinn</v>
      </c>
      <c r="C3" s="342"/>
      <c r="D3" s="342"/>
      <c r="E3" s="342"/>
      <c r="F3" s="342"/>
    </row>
    <row r="4" customFormat="false" ht="15" hidden="false" customHeight="true" outlineLevel="0" collapsed="false">
      <c r="A4" s="337"/>
      <c r="B4" s="342"/>
      <c r="C4" s="342"/>
      <c r="D4" s="342"/>
      <c r="E4" s="342"/>
      <c r="F4" s="342"/>
    </row>
    <row r="5" customFormat="false" ht="30" hidden="false" customHeight="true" outlineLevel="0" collapsed="false">
      <c r="A5" s="337"/>
      <c r="B5" s="343"/>
      <c r="C5" s="339"/>
      <c r="D5" s="338"/>
      <c r="E5" s="340"/>
      <c r="F5" s="339"/>
    </row>
    <row r="6" customFormat="false" ht="13.5" hidden="false" customHeight="true" outlineLevel="0" collapsed="false">
      <c r="A6" s="337"/>
      <c r="B6" s="343"/>
      <c r="C6" s="339"/>
      <c r="D6" s="338"/>
      <c r="E6" s="340"/>
      <c r="F6" s="339"/>
    </row>
    <row r="7" customFormat="false" ht="13.5" hidden="false" customHeight="true" outlineLevel="0" collapsed="false">
      <c r="A7" s="337"/>
      <c r="B7" s="343"/>
      <c r="C7" s="344"/>
      <c r="D7" s="344"/>
      <c r="E7" s="343"/>
      <c r="F7" s="337"/>
    </row>
    <row r="8" customFormat="false" ht="15" hidden="false" customHeight="true" outlineLevel="0" collapsed="false">
      <c r="A8" s="337"/>
      <c r="B8" s="339"/>
      <c r="C8" s="339"/>
      <c r="D8" s="338"/>
      <c r="E8" s="340"/>
      <c r="F8" s="339"/>
    </row>
    <row r="9" customFormat="false" ht="30" hidden="false" customHeight="true" outlineLevel="0" collapsed="false">
      <c r="A9" s="337"/>
      <c r="B9" s="345"/>
      <c r="C9" s="337"/>
      <c r="D9" s="338"/>
      <c r="E9" s="337"/>
      <c r="F9" s="339"/>
    </row>
    <row r="10" customFormat="false" ht="30" hidden="false" customHeight="true" outlineLevel="0" collapsed="false">
      <c r="A10" s="337"/>
      <c r="B10" s="345"/>
      <c r="C10" s="337"/>
      <c r="D10" s="338"/>
      <c r="E10" s="337"/>
      <c r="F10" s="339"/>
    </row>
    <row r="11" customFormat="false" ht="30" hidden="false" customHeight="true" outlineLevel="0" collapsed="false">
      <c r="A11" s="337"/>
      <c r="B11" s="345"/>
      <c r="C11" s="337"/>
      <c r="D11" s="338"/>
      <c r="E11" s="337"/>
      <c r="F11" s="339"/>
    </row>
    <row r="12" customFormat="false" ht="30" hidden="false" customHeight="true" outlineLevel="0" collapsed="false">
      <c r="A12" s="337"/>
      <c r="B12" s="345"/>
      <c r="C12" s="337"/>
      <c r="D12" s="338"/>
      <c r="E12" s="337"/>
      <c r="F12" s="339"/>
    </row>
    <row r="13" customFormat="false" ht="30" hidden="false" customHeight="true" outlineLevel="0" collapsed="false">
      <c r="A13" s="337"/>
      <c r="B13" s="345"/>
      <c r="C13" s="337"/>
      <c r="D13" s="338"/>
      <c r="E13" s="337"/>
      <c r="F13" s="339"/>
    </row>
    <row r="14" customFormat="false" ht="13.5" hidden="false" customHeight="true" outlineLevel="0" collapsed="false">
      <c r="A14" s="337"/>
      <c r="B14" s="337"/>
      <c r="C14" s="337"/>
      <c r="D14" s="338"/>
      <c r="E14" s="337"/>
      <c r="F14" s="339"/>
    </row>
    <row r="15" customFormat="false" ht="15" hidden="false" customHeight="true" outlineLevel="0" collapsed="false">
      <c r="A15" s="337"/>
      <c r="B15" s="346"/>
      <c r="C15" s="346"/>
      <c r="D15" s="346"/>
      <c r="E15" s="346"/>
      <c r="F15" s="346"/>
    </row>
    <row r="16" customFormat="false" ht="93.75" hidden="false" customHeight="true" outlineLevel="0" collapsed="false">
      <c r="A16" s="337"/>
      <c r="B16" s="347"/>
      <c r="C16" s="347"/>
      <c r="D16" s="347"/>
      <c r="E16" s="347"/>
      <c r="F16" s="347"/>
    </row>
    <row r="17" customFormat="false" ht="30" hidden="false" customHeight="true" outlineLevel="0" collapsed="false">
      <c r="A17" s="337"/>
      <c r="B17" s="348" t="str">
        <f aca="false">'12.lan'!D221</f>
        <v>BALANCE OVERVIEW</v>
      </c>
      <c r="C17" s="348"/>
      <c r="D17" s="348"/>
      <c r="E17" s="348"/>
      <c r="F17" s="348"/>
    </row>
    <row r="18" customFormat="false" ht="26.25" hidden="false" customHeight="true" outlineLevel="0" collapsed="false">
      <c r="A18" s="337"/>
      <c r="B18" s="349" t="s">
        <v>39</v>
      </c>
      <c r="C18" s="350" t="n">
        <f aca="false">'4. ECG-Matrix'!C9</f>
        <v>-42.8571428571429</v>
      </c>
      <c r="D18" s="351" t="str">
        <f aca="false">'12.lan'!$D$214</f>
        <v>of</v>
      </c>
      <c r="E18" s="352" t="n">
        <f aca="false">'4. ECG-Matrix'!E9</f>
        <v>23.8095238095238</v>
      </c>
      <c r="F18" s="360" t="n">
        <f aca="false">C18/E18</f>
        <v>-1.8</v>
      </c>
      <c r="G18" s="354" t="n">
        <f aca="false">IF(F18&lt;0,0,F18)</f>
        <v>0</v>
      </c>
      <c r="AI18" s="361"/>
      <c r="AM18" s="361"/>
    </row>
    <row r="19" customFormat="false" ht="26.25" hidden="false" customHeight="true" outlineLevel="0" collapsed="false">
      <c r="A19" s="337"/>
      <c r="B19" s="349" t="s">
        <v>42</v>
      </c>
      <c r="C19" s="350" t="n">
        <f aca="false">'4. ECG-Matrix'!G9</f>
        <v>-42.8571428571429</v>
      </c>
      <c r="D19" s="351" t="str">
        <f aca="false">'12.lan'!$D$214</f>
        <v>of</v>
      </c>
      <c r="E19" s="352" t="n">
        <f aca="false">'4. ECG-Matrix'!I9</f>
        <v>23.8095238095238</v>
      </c>
      <c r="F19" s="360" t="n">
        <f aca="false">C19/E19</f>
        <v>-1.8</v>
      </c>
      <c r="G19" s="354" t="n">
        <f aca="false">IF(F19&lt;0,0,F19)</f>
        <v>0</v>
      </c>
      <c r="AI19" s="361"/>
      <c r="AM19" s="361"/>
    </row>
    <row r="20" customFormat="false" ht="26.25" hidden="false" customHeight="true" outlineLevel="0" collapsed="false">
      <c r="A20" s="337"/>
      <c r="B20" s="349" t="s">
        <v>46</v>
      </c>
      <c r="C20" s="350" t="n">
        <f aca="false">'4. ECG-Matrix'!K9</f>
        <v>2.38095238095238</v>
      </c>
      <c r="D20" s="351" t="str">
        <f aca="false">'12.lan'!$D$214</f>
        <v>of</v>
      </c>
      <c r="E20" s="352" t="n">
        <f aca="false">'4. ECG-Matrix'!M9</f>
        <v>23.8095238095238</v>
      </c>
      <c r="F20" s="360" t="n">
        <f aca="false">C20/E20</f>
        <v>0.1</v>
      </c>
      <c r="G20" s="354" t="n">
        <f aca="false">IF(F20&lt;0,0,F20)</f>
        <v>0.1</v>
      </c>
      <c r="AI20" s="361"/>
      <c r="AM20" s="361"/>
    </row>
    <row r="21" customFormat="false" ht="26.25" hidden="false" customHeight="true" outlineLevel="0" collapsed="false">
      <c r="A21" s="337"/>
      <c r="B21" s="349" t="s">
        <v>49</v>
      </c>
      <c r="C21" s="350" t="n">
        <f aca="false">'4. ECG-Matrix'!O9</f>
        <v>0</v>
      </c>
      <c r="D21" s="351" t="str">
        <f aca="false">'12.lan'!$D$214</f>
        <v>of</v>
      </c>
      <c r="E21" s="352" t="n">
        <f aca="false">'4. ECG-Matrix'!Q9</f>
        <v>23.8095238095238</v>
      </c>
      <c r="F21" s="360" t="n">
        <f aca="false">C21/E21</f>
        <v>0</v>
      </c>
      <c r="G21" s="354" t="n">
        <f aca="false">IF(F21&lt;0,0,F21)</f>
        <v>0</v>
      </c>
      <c r="AI21" s="361"/>
      <c r="AM21" s="361"/>
    </row>
    <row r="22" customFormat="false" ht="26.25" hidden="false" customHeight="true" outlineLevel="0" collapsed="false">
      <c r="A22" s="337"/>
      <c r="B22" s="349" t="s">
        <v>53</v>
      </c>
      <c r="C22" s="350" t="n">
        <f aca="false">'4. ECG-Matrix'!C11</f>
        <v>15.8730158730159</v>
      </c>
      <c r="D22" s="351" t="str">
        <f aca="false">'12.lan'!$D$214</f>
        <v>of</v>
      </c>
      <c r="E22" s="352" t="n">
        <f aca="false">'4. ECG-Matrix'!E11</f>
        <v>95.2380952380952</v>
      </c>
      <c r="F22" s="360" t="n">
        <f aca="false">C22/E22</f>
        <v>0.166666666666667</v>
      </c>
      <c r="G22" s="354" t="n">
        <f aca="false">IF(F22&lt;0,0,F22)</f>
        <v>0.166666666666667</v>
      </c>
      <c r="AI22" s="361"/>
      <c r="AM22" s="361"/>
    </row>
    <row r="23" customFormat="false" ht="26.25" hidden="false" customHeight="true" outlineLevel="0" collapsed="false">
      <c r="A23" s="337"/>
      <c r="B23" s="349" t="s">
        <v>57</v>
      </c>
      <c r="C23" s="350" t="n">
        <f aca="false">'4. ECG-Matrix'!G11</f>
        <v>0</v>
      </c>
      <c r="D23" s="351" t="str">
        <f aca="false">'12.lan'!$D$214</f>
        <v>of</v>
      </c>
      <c r="E23" s="352" t="n">
        <f aca="false">'4. ECG-Matrix'!I11</f>
        <v>142.857142857143</v>
      </c>
      <c r="F23" s="360" t="n">
        <f aca="false">C23/E23</f>
        <v>0</v>
      </c>
      <c r="G23" s="354" t="n">
        <f aca="false">IF(F23&lt;0,0,F23)</f>
        <v>0</v>
      </c>
      <c r="AI23" s="361"/>
      <c r="AM23" s="361"/>
    </row>
    <row r="24" customFormat="false" ht="26.25" hidden="false" customHeight="true" outlineLevel="0" collapsed="false">
      <c r="A24" s="337"/>
      <c r="B24" s="349" t="s">
        <v>60</v>
      </c>
      <c r="C24" s="350" t="n">
        <f aca="false">'4. ECG-Matrix'!K11</f>
        <v>0</v>
      </c>
      <c r="D24" s="351" t="str">
        <f aca="false">'12.lan'!$D$214</f>
        <v>of</v>
      </c>
      <c r="E24" s="352" t="n">
        <f aca="false">'4. ECG-Matrix'!M11</f>
        <v>142.857142857143</v>
      </c>
      <c r="F24" s="360" t="n">
        <f aca="false">C24/E24</f>
        <v>0</v>
      </c>
      <c r="G24" s="354" t="n">
        <f aca="false">IF(F24&lt;0,0,F24)</f>
        <v>0</v>
      </c>
      <c r="AI24" s="361"/>
      <c r="AM24" s="361"/>
    </row>
    <row r="25" customFormat="false" ht="26.25" hidden="false" customHeight="true" outlineLevel="0" collapsed="false">
      <c r="A25" s="337"/>
      <c r="B25" s="349" t="s">
        <v>64</v>
      </c>
      <c r="C25" s="350" t="n">
        <f aca="false">'4. ECG-Matrix'!O11</f>
        <v>0</v>
      </c>
      <c r="D25" s="351" t="str">
        <f aca="false">'12.lan'!$D$214</f>
        <v>of</v>
      </c>
      <c r="E25" s="352" t="n">
        <f aca="false">'4. ECG-Matrix'!Q11</f>
        <v>47.6190476190476</v>
      </c>
      <c r="F25" s="360" t="n">
        <f aca="false">C25/E25</f>
        <v>0</v>
      </c>
      <c r="G25" s="354" t="n">
        <f aca="false">IF(F25&lt;0,0,F25)</f>
        <v>0</v>
      </c>
      <c r="AI25" s="361"/>
      <c r="AM25" s="361"/>
    </row>
    <row r="26" customFormat="false" ht="26.25" hidden="false" customHeight="true" outlineLevel="0" collapsed="false">
      <c r="A26" s="337"/>
      <c r="B26" s="349" t="s">
        <v>68</v>
      </c>
      <c r="C26" s="350" t="n">
        <f aca="false">'4. ECG-Matrix'!C13</f>
        <v>0.793650793650794</v>
      </c>
      <c r="D26" s="351" t="str">
        <f aca="false">'12.lan'!$D$214</f>
        <v>of</v>
      </c>
      <c r="E26" s="352" t="n">
        <f aca="false">'4. ECG-Matrix'!E13</f>
        <v>23.8095238095238</v>
      </c>
      <c r="F26" s="360" t="n">
        <f aca="false">C26/E26</f>
        <v>0.0333333333333333</v>
      </c>
      <c r="G26" s="354" t="n">
        <f aca="false">IF(F26&lt;0,0,F26)</f>
        <v>0.0333333333333333</v>
      </c>
      <c r="AI26" s="361"/>
      <c r="AM26" s="361"/>
    </row>
    <row r="27" customFormat="false" ht="26.25" hidden="false" customHeight="true" outlineLevel="0" collapsed="false">
      <c r="A27" s="337"/>
      <c r="B27" s="349" t="s">
        <v>73</v>
      </c>
      <c r="C27" s="350" t="n">
        <f aca="false">'4. ECG-Matrix'!G13</f>
        <v>-0.476190476190476</v>
      </c>
      <c r="D27" s="351" t="str">
        <f aca="false">'12.lan'!$D$214</f>
        <v>of</v>
      </c>
      <c r="E27" s="352" t="n">
        <f aca="false">'4. ECG-Matrix'!I13</f>
        <v>23.8095238095238</v>
      </c>
      <c r="F27" s="360" t="n">
        <f aca="false">C27/E27</f>
        <v>-0.02</v>
      </c>
      <c r="G27" s="354" t="n">
        <f aca="false">IF(F27&lt;0,0,F27)</f>
        <v>0</v>
      </c>
      <c r="AI27" s="361"/>
      <c r="AM27" s="361"/>
    </row>
    <row r="28" customFormat="false" ht="26.25" hidden="false" customHeight="true" outlineLevel="0" collapsed="false">
      <c r="A28" s="337"/>
      <c r="B28" s="349" t="s">
        <v>78</v>
      </c>
      <c r="C28" s="350" t="n">
        <f aca="false">'4. ECG-Matrix'!K13</f>
        <v>-10.7142857142857</v>
      </c>
      <c r="D28" s="351" t="str">
        <f aca="false">'12.lan'!$D$214</f>
        <v>of</v>
      </c>
      <c r="E28" s="352" t="n">
        <f aca="false">'4. ECG-Matrix'!M13</f>
        <v>35.7142857142857</v>
      </c>
      <c r="F28" s="360" t="n">
        <f aca="false">C28/E28</f>
        <v>-0.3</v>
      </c>
      <c r="G28" s="354" t="n">
        <f aca="false">IF(F28&lt;0,0,F28)</f>
        <v>0</v>
      </c>
      <c r="AI28" s="361"/>
      <c r="AM28" s="361"/>
    </row>
    <row r="29" customFormat="false" ht="26.25" hidden="false" customHeight="true" outlineLevel="0" collapsed="false">
      <c r="A29" s="337"/>
      <c r="B29" s="349" t="s">
        <v>83</v>
      </c>
      <c r="C29" s="350" t="n">
        <f aca="false">'4. ECG-Matrix'!O13</f>
        <v>0</v>
      </c>
      <c r="D29" s="351" t="str">
        <f aca="false">'12.lan'!$D$214</f>
        <v>of</v>
      </c>
      <c r="E29" s="352" t="n">
        <f aca="false">'4. ECG-Matrix'!Q13</f>
        <v>11.9047619047619</v>
      </c>
      <c r="F29" s="360" t="n">
        <f aca="false">C29/E29</f>
        <v>0</v>
      </c>
      <c r="G29" s="354" t="n">
        <f aca="false">IF(F29&lt;0,0,F29)</f>
        <v>0</v>
      </c>
      <c r="AI29" s="361"/>
      <c r="AM29" s="361"/>
    </row>
    <row r="30" customFormat="false" ht="26.25" hidden="false" customHeight="true" outlineLevel="0" collapsed="false">
      <c r="A30" s="337"/>
      <c r="B30" s="349" t="s">
        <v>89</v>
      </c>
      <c r="C30" s="350" t="n">
        <f aca="false">'4. ECG-Matrix'!C15</f>
        <v>-161.904761904762</v>
      </c>
      <c r="D30" s="351" t="str">
        <f aca="false">'12.lan'!$D$214</f>
        <v>of</v>
      </c>
      <c r="E30" s="352" t="n">
        <f aca="false">'4. ECG-Matrix'!E15</f>
        <v>47.6190476190476</v>
      </c>
      <c r="F30" s="360" t="n">
        <f aca="false">C30/E30</f>
        <v>-3.4</v>
      </c>
      <c r="G30" s="354" t="n">
        <f aca="false">IF(F30&lt;0,0,F30)</f>
        <v>0</v>
      </c>
      <c r="AI30" s="361"/>
      <c r="AM30" s="361"/>
    </row>
    <row r="31" customFormat="false" ht="26.25" hidden="false" customHeight="true" outlineLevel="0" collapsed="false">
      <c r="A31" s="337"/>
      <c r="B31" s="349" t="s">
        <v>93</v>
      </c>
      <c r="C31" s="350" t="n">
        <f aca="false">'4. ECG-Matrix'!G15</f>
        <v>0</v>
      </c>
      <c r="D31" s="351" t="str">
        <f aca="false">'12.lan'!$D$214</f>
        <v>of</v>
      </c>
      <c r="E31" s="352" t="n">
        <f aca="false">'4. ECG-Matrix'!I15</f>
        <v>47.6190476190476</v>
      </c>
      <c r="F31" s="360" t="n">
        <f aca="false">C31/E31</f>
        <v>0</v>
      </c>
      <c r="G31" s="354" t="n">
        <f aca="false">IF(F31&lt;0,0,F31)</f>
        <v>0</v>
      </c>
      <c r="AI31" s="361"/>
      <c r="AM31" s="361"/>
    </row>
    <row r="32" customFormat="false" ht="26.25" hidden="false" customHeight="true" outlineLevel="0" collapsed="false">
      <c r="A32" s="337"/>
      <c r="B32" s="349" t="s">
        <v>97</v>
      </c>
      <c r="C32" s="350" t="n">
        <f aca="false">'4. ECG-Matrix'!K15</f>
        <v>0</v>
      </c>
      <c r="D32" s="351" t="str">
        <f aca="false">'12.lan'!$D$214</f>
        <v>of</v>
      </c>
      <c r="E32" s="352" t="n">
        <f aca="false">'4. ECG-Matrix'!M15</f>
        <v>47.6190476190476</v>
      </c>
      <c r="F32" s="360" t="n">
        <f aca="false">C32/E32</f>
        <v>0</v>
      </c>
      <c r="G32" s="354" t="n">
        <f aca="false">IF(F32&lt;0,0,F32)</f>
        <v>0</v>
      </c>
      <c r="AI32" s="361"/>
      <c r="AM32" s="361"/>
    </row>
    <row r="33" customFormat="false" ht="26.25" hidden="false" customHeight="true" outlineLevel="0" collapsed="false">
      <c r="A33" s="337"/>
      <c r="B33" s="349" t="s">
        <v>101</v>
      </c>
      <c r="C33" s="350" t="n">
        <f aca="false">'4. ECG-Matrix'!O15</f>
        <v>-52.3809523809524</v>
      </c>
      <c r="D33" s="351" t="str">
        <f aca="false">'12.lan'!$D$214</f>
        <v>of</v>
      </c>
      <c r="E33" s="352" t="n">
        <f aca="false">'4. ECG-Matrix'!Q15</f>
        <v>47.6190476190476</v>
      </c>
      <c r="F33" s="360" t="n">
        <f aca="false">C33/E33</f>
        <v>-1.1</v>
      </c>
      <c r="G33" s="354" t="n">
        <f aca="false">IF(F33&lt;0,0,F33)</f>
        <v>0</v>
      </c>
      <c r="AI33" s="361"/>
      <c r="AM33" s="361"/>
    </row>
    <row r="34" customFormat="false" ht="26.25" hidden="false" customHeight="true" outlineLevel="0" collapsed="false">
      <c r="A34" s="337"/>
      <c r="B34" s="349" t="s">
        <v>105</v>
      </c>
      <c r="C34" s="350" t="n">
        <f aca="false">'4. ECG-Matrix'!C17</f>
        <v>-95.2380952380952</v>
      </c>
      <c r="D34" s="351" t="str">
        <f aca="false">'12.lan'!$D$214</f>
        <v>of</v>
      </c>
      <c r="E34" s="352" t="n">
        <f aca="false">'4. ECG-Matrix'!E17</f>
        <v>47.6190476190476</v>
      </c>
      <c r="F34" s="360" t="n">
        <f aca="false">C34/E34</f>
        <v>-2</v>
      </c>
      <c r="G34" s="354" t="n">
        <f aca="false">IF(F34&lt;0,0,F34)</f>
        <v>0</v>
      </c>
      <c r="AI34" s="361"/>
      <c r="AM34" s="361"/>
    </row>
    <row r="35" customFormat="false" ht="26.25" hidden="false" customHeight="true" outlineLevel="0" collapsed="false">
      <c r="A35" s="337"/>
      <c r="B35" s="349" t="s">
        <v>109</v>
      </c>
      <c r="C35" s="350" t="n">
        <f aca="false">'4. ECG-Matrix'!G17</f>
        <v>0</v>
      </c>
      <c r="D35" s="351" t="str">
        <f aca="false">'12.lan'!$D$214</f>
        <v>of</v>
      </c>
      <c r="E35" s="352" t="n">
        <f aca="false">'4. ECG-Matrix'!I17</f>
        <v>71.4285714285714</v>
      </c>
      <c r="F35" s="360" t="n">
        <f aca="false">C35/E35</f>
        <v>0</v>
      </c>
      <c r="G35" s="354" t="n">
        <f aca="false">IF(F35&lt;0,0,F35)</f>
        <v>0</v>
      </c>
      <c r="AI35" s="361"/>
      <c r="AM35" s="361"/>
    </row>
    <row r="36" customFormat="false" ht="26.25" hidden="false" customHeight="true" outlineLevel="0" collapsed="false">
      <c r="A36" s="337"/>
      <c r="B36" s="349" t="s">
        <v>114</v>
      </c>
      <c r="C36" s="350" t="n">
        <f aca="false">'4. ECG-Matrix'!K17</f>
        <v>-2.85714285714286</v>
      </c>
      <c r="D36" s="351" t="str">
        <f aca="false">'12.lan'!$D$214</f>
        <v>of</v>
      </c>
      <c r="E36" s="352" t="n">
        <f aca="false">'4. ECG-Matrix'!M17</f>
        <v>47.6190476190476</v>
      </c>
      <c r="F36" s="360" t="n">
        <f aca="false">C36/E36</f>
        <v>-0.06</v>
      </c>
      <c r="G36" s="354" t="n">
        <f aca="false">IF(F36&lt;0,0,F36)</f>
        <v>0</v>
      </c>
      <c r="AI36" s="361"/>
      <c r="AM36" s="361"/>
    </row>
    <row r="37" customFormat="false" ht="26.25" hidden="false" customHeight="true" outlineLevel="0" collapsed="false">
      <c r="A37" s="337"/>
      <c r="B37" s="349" t="s">
        <v>118</v>
      </c>
      <c r="C37" s="350" t="n">
        <f aca="false">'4. ECG-Matrix'!O17</f>
        <v>1.19047619047619</v>
      </c>
      <c r="D37" s="351" t="str">
        <f aca="false">'12.lan'!$D$214</f>
        <v>of</v>
      </c>
      <c r="E37" s="352" t="n">
        <f aca="false">'4. ECG-Matrix'!Q17</f>
        <v>23.8095238095238</v>
      </c>
      <c r="F37" s="360" t="n">
        <f aca="false">C37/E37</f>
        <v>0.05</v>
      </c>
      <c r="G37" s="354" t="n">
        <f aca="false">IF(F37&lt;0,0,F37)</f>
        <v>0.05</v>
      </c>
      <c r="AI37" s="361"/>
      <c r="AM37" s="361"/>
    </row>
    <row r="38" customFormat="false" ht="30" hidden="false" customHeight="true" outlineLevel="0" collapsed="false">
      <c r="A38" s="337"/>
      <c r="B38" s="355" t="str">
        <f aca="false">'12.lan'!D228</f>
        <v>TOTAL</v>
      </c>
      <c r="C38" s="356" t="n">
        <f aca="false">'3. Calc'!I4</f>
        <v>-389.047619047619</v>
      </c>
      <c r="D38" s="362" t="str">
        <f aca="false">'12.lan'!$D$214</f>
        <v>of</v>
      </c>
      <c r="E38" s="358" t="n">
        <f aca="false">'3. Calc'!J4</f>
        <v>1000</v>
      </c>
      <c r="F38" s="363" t="n">
        <f aca="false">C38/E38</f>
        <v>-0.389047619047619</v>
      </c>
    </row>
    <row r="39" customFormat="false" ht="13.5" hidden="false" customHeight="true" outlineLevel="0" collapsed="false">
      <c r="A39" s="337"/>
      <c r="B39" s="337"/>
      <c r="C39" s="337"/>
      <c r="D39" s="338"/>
      <c r="E39" s="337"/>
      <c r="F39" s="339"/>
    </row>
  </sheetData>
  <sheetProtection algorithmName="SHA-512" hashValue="n0aid4JU+PQWFdPa0wrnh3ZfAZ6azPcERwytgjqG04+eG/Fkg26A+0VShS/x6IM2+3G6FtXqYrfT48sD8iREXg==" saltValue="UgGx19faTItwu22YsaoMjw==" spinCount="100000" sheet="true" objects="true" scenarios="true"/>
  <mergeCells count="5">
    <mergeCell ref="B2:F2"/>
    <mergeCell ref="B3:F4"/>
    <mergeCell ref="B15:F15"/>
    <mergeCell ref="B16:F16"/>
    <mergeCell ref="B17:F17"/>
  </mergeCells>
  <conditionalFormatting sqref="F18:F37">
    <cfRule type="cellIs" priority="2" operator="lessThan" aboveAverage="0" equalAverage="0" bottom="0" percent="0" rank="0" text="" dxfId="26">
      <formula>0</formula>
    </cfRule>
  </conditionalFormatting>
  <conditionalFormatting sqref="F38">
    <cfRule type="cellIs" priority="3" operator="lessThan" aboveAverage="0" equalAverage="0" bottom="0" percent="0" rank="0" text="" dxfId="27">
      <formula>0</formula>
    </cfRule>
  </conditionalFormatting>
  <printOptions headings="false" gridLines="false" gridLinesSet="true" horizontalCentered="false" verticalCentered="false"/>
  <pageMargins left="0.579861111111111" right="0.779861111111111"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2" topLeftCell="A3" activePane="bottomLeft" state="frozen"/>
      <selection pane="topLeft" activeCell="A1" activeCellId="0" sqref="A1"/>
      <selection pane="bottomLeft" activeCell="C1" activeCellId="0" sqref="C1"/>
    </sheetView>
  </sheetViews>
  <sheetFormatPr defaultColWidth="10.2890625" defaultRowHeight="12.75" zeroHeight="false" outlineLevelRow="0" outlineLevelCol="0"/>
  <cols>
    <col collapsed="false" customWidth="true" hidden="false" outlineLevel="0" max="1" min="1" style="364" width="32.29"/>
    <col collapsed="false" customWidth="true" hidden="false" outlineLevel="0" max="2" min="2" style="364" width="2.28"/>
    <col collapsed="false" customWidth="true" hidden="false" outlineLevel="0" max="3" min="3" style="365" width="94.29"/>
    <col collapsed="false" customWidth="true" hidden="false" outlineLevel="0" max="4" min="4" style="365" width="4.71"/>
    <col collapsed="false" customWidth="false" hidden="false" outlineLevel="0" max="1024" min="5" style="365" width="10.28"/>
  </cols>
  <sheetData>
    <row r="1" customFormat="false" ht="33" hidden="false" customHeight="true" outlineLevel="0" collapsed="false">
      <c r="A1" s="5" t="str">
        <f aca="false">'12.lan'!D91&amp;" - "&amp;'0. Intro'!B3&amp;" "&amp;'0. Intro'!C3</f>
        <v>Common Good Balance Calculator - Version 5.06</v>
      </c>
      <c r="B1" s="311"/>
      <c r="C1" s="311"/>
      <c r="D1" s="311"/>
      <c r="E1" s="311"/>
      <c r="F1" s="311"/>
    </row>
    <row r="2" customFormat="false" ht="31.5" hidden="false" customHeight="true" outlineLevel="0" collapsed="false">
      <c r="A2" s="29" t="str">
        <f aca="false">'12.lan'!D204</f>
        <v>Description of the weighting model</v>
      </c>
      <c r="B2" s="29"/>
      <c r="C2" s="29"/>
      <c r="D2" s="366"/>
      <c r="E2" s="366"/>
    </row>
    <row r="3" customFormat="false" ht="12" hidden="false" customHeight="true" outlineLevel="0" collapsed="false">
      <c r="A3" s="366"/>
      <c r="B3" s="366"/>
      <c r="C3" s="366"/>
      <c r="D3" s="366"/>
      <c r="E3" s="366"/>
    </row>
    <row r="4" customFormat="false" ht="108" hidden="false" customHeight="true" outlineLevel="0" collapsed="false">
      <c r="A4" s="367" t="str">
        <f aca="false">'12.lan'!D208</f>
        <v>General</v>
      </c>
      <c r="B4" s="367"/>
      <c r="C4" s="368" t="str">
        <f aca="false">'12.lan'!D244</f>
        <v>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 </v>
      </c>
      <c r="D4" s="366"/>
      <c r="E4" s="366"/>
    </row>
    <row r="5" customFormat="false" ht="78.75" hidden="false" customHeight="true" outlineLevel="0" collapsed="false">
      <c r="A5" s="367" t="str">
        <f aca="false">'12.lan'!D207</f>
        <v>Stakekolders &amp; values</v>
      </c>
      <c r="B5" s="367"/>
      <c r="C5" s="368" t="str">
        <f aca="false">'12.lan'!D245</f>
        <v>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v>
      </c>
    </row>
    <row r="6" customFormat="false" ht="45.75" hidden="false" customHeight="true" outlineLevel="0" collapsed="false">
      <c r="A6" s="369" t="str">
        <f aca="false">'12.lan'!D205</f>
        <v>Themes</v>
      </c>
      <c r="B6" s="369"/>
      <c r="C6" s="370" t="str">
        <f aca="false">'12.lan'!D246</f>
        <v>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v>
      </c>
    </row>
    <row r="7" customFormat="false" ht="18.75" hidden="false" customHeight="true" outlineLevel="0" collapsed="false">
      <c r="A7" s="371" t="s">
        <v>39</v>
      </c>
      <c r="B7" s="371"/>
      <c r="C7" s="370" t="s">
        <v>177</v>
      </c>
    </row>
    <row r="8" customFormat="false" ht="18.75" hidden="false" customHeight="true" outlineLevel="0" collapsed="false">
      <c r="A8" s="372" t="s">
        <v>42</v>
      </c>
      <c r="B8" s="372"/>
      <c r="C8" s="370" t="str">
        <f aca="false">'12.lan'!D248</f>
        <v>-</v>
      </c>
    </row>
    <row r="9" customFormat="false" ht="26.25" hidden="false" customHeight="true" outlineLevel="0" collapsed="false">
      <c r="A9" s="373" t="s">
        <v>46</v>
      </c>
      <c r="B9" s="373"/>
      <c r="C9" s="370" t="str">
        <f aca="false">'12.lan'!D249</f>
        <v>The weighting of this theme is dependent on the environmental effect of the supplier's sector (see sheet “Industry").</v>
      </c>
    </row>
    <row r="10" customFormat="false" ht="24.75" hidden="false" customHeight="true" outlineLevel="0" collapsed="false">
      <c r="A10" s="373" t="s">
        <v>49</v>
      </c>
      <c r="B10" s="373"/>
      <c r="C10" s="370" t="str">
        <f aca="false">'12.lan'!D250</f>
        <v>The weighting of this theme is dependent on co-determination rights in the countries of the most important supply industries (based on the ILUC index of the International Labour Union).</v>
      </c>
    </row>
    <row r="11" customFormat="false" ht="20.25" hidden="false" customHeight="true" outlineLevel="0" collapsed="false">
      <c r="A11" s="373" t="s">
        <v>53</v>
      </c>
      <c r="B11" s="373"/>
      <c r="C11" s="370" t="str">
        <f aca="false">'12.lan'!D251</f>
        <v>The weighting of this theme depends on the ratio turnover to the balance sheet total.</v>
      </c>
    </row>
    <row r="12" customFormat="false" ht="20.25" hidden="false" customHeight="true" outlineLevel="0" collapsed="false">
      <c r="A12" s="373" t="s">
        <v>57</v>
      </c>
      <c r="B12" s="373"/>
      <c r="C12" s="370" t="str">
        <f aca="false">'12.lan'!D252</f>
        <v>The weighting of this theme depends on the ratio profit to turnover</v>
      </c>
    </row>
    <row r="13" customFormat="false" ht="20.25" hidden="false" customHeight="true" outlineLevel="0" collapsed="false">
      <c r="A13" s="373" t="s">
        <v>60</v>
      </c>
      <c r="B13" s="373"/>
      <c r="C13" s="370" t="str">
        <f aca="false">'12.lan'!D253</f>
        <v>The weighting of this theme is dependent on additions to fixed-assets and financial assets in relation to the balance sheet total.</v>
      </c>
    </row>
    <row r="14" customFormat="false" ht="20.25" hidden="false" customHeight="true" outlineLevel="0" collapsed="false">
      <c r="A14" s="373" t="s">
        <v>64</v>
      </c>
      <c r="B14" s="373"/>
      <c r="C14" s="370" t="str">
        <f aca="false">'12.lan'!D254</f>
        <v>The weighting of this theme is dependent on the size of the company.</v>
      </c>
    </row>
    <row r="15" customFormat="false" ht="20.25" hidden="false" customHeight="true" outlineLevel="0" collapsed="false">
      <c r="A15" s="373" t="s">
        <v>68</v>
      </c>
      <c r="B15" s="373"/>
      <c r="C15" s="370" t="str">
        <f aca="false">'12.lan'!D255</f>
        <v>-</v>
      </c>
    </row>
    <row r="16" customFormat="false" ht="20.25" hidden="false" customHeight="true" outlineLevel="0" collapsed="false">
      <c r="A16" s="373" t="s">
        <v>73</v>
      </c>
      <c r="B16" s="373"/>
      <c r="C16" s="370" t="str">
        <f aca="false">'12.lan'!D256</f>
        <v>-</v>
      </c>
    </row>
    <row r="17" customFormat="false" ht="26.25" hidden="false" customHeight="true" outlineLevel="0" collapsed="false">
      <c r="A17" s="373" t="s">
        <v>78</v>
      </c>
      <c r="B17" s="373"/>
      <c r="C17" s="370" t="str">
        <f aca="false">'12.lan'!D257</f>
        <v>The weighting of this theme is dependent on the existence of a canteen for most of the employees as well as an (estimated) average commute to work. </v>
      </c>
    </row>
    <row r="18" customFormat="false" ht="24.75" hidden="false" customHeight="true" outlineLevel="0" collapsed="false">
      <c r="A18" s="373" t="s">
        <v>83</v>
      </c>
      <c r="B18" s="373"/>
      <c r="C18" s="370" t="str">
        <f aca="false">'12.lan'!D258</f>
        <v>The weighting of this theme is dependent on company size and co-determination rights in the countries of the most important supply industries (based on the ILUC index of the International Labour Union).</v>
      </c>
    </row>
    <row r="19" customFormat="false" ht="16.5" hidden="false" customHeight="true" outlineLevel="0" collapsed="false">
      <c r="A19" s="373" t="s">
        <v>89</v>
      </c>
      <c r="B19" s="373"/>
      <c r="C19" s="370" t="str">
        <f aca="false">'12.lan'!D259</f>
        <v>-</v>
      </c>
    </row>
    <row r="20" customFormat="false" ht="16.5" hidden="false" customHeight="true" outlineLevel="0" collapsed="false">
      <c r="A20" s="373" t="s">
        <v>93</v>
      </c>
      <c r="B20" s="373"/>
      <c r="C20" s="370" t="str">
        <f aca="false">'12.lan'!D260</f>
        <v>-</v>
      </c>
    </row>
    <row r="21" customFormat="false" ht="16.5" hidden="false" customHeight="true" outlineLevel="0" collapsed="false">
      <c r="A21" s="373" t="s">
        <v>97</v>
      </c>
      <c r="B21" s="373"/>
      <c r="C21" s="370" t="str">
        <f aca="false">'12.lan'!D261</f>
        <v>The weighting of this theme depends on the industry sector.</v>
      </c>
    </row>
    <row r="22" customFormat="false" ht="16.5" hidden="false" customHeight="true" outlineLevel="0" collapsed="false">
      <c r="A22" s="373" t="s">
        <v>101</v>
      </c>
      <c r="B22" s="373"/>
      <c r="C22" s="370" t="str">
        <f aca="false">'12.lan'!D262</f>
        <v>The weighting of this theme depends on whether customers are primarily individuals or companies.</v>
      </c>
    </row>
    <row r="23" customFormat="false" ht="16.5" hidden="false" customHeight="true" outlineLevel="0" collapsed="false">
      <c r="A23" s="373" t="s">
        <v>105</v>
      </c>
      <c r="B23" s="373"/>
      <c r="C23" s="370" t="str">
        <f aca="false">'12.lan'!D263</f>
        <v>-</v>
      </c>
    </row>
    <row r="24" customFormat="false" ht="16.5" hidden="false" customHeight="true" outlineLevel="0" collapsed="false">
      <c r="A24" s="373" t="s">
        <v>109</v>
      </c>
      <c r="B24" s="373"/>
      <c r="C24" s="370" t="str">
        <f aca="false">'12.lan'!D264</f>
        <v>The weighting of this theme is dependent on the return on sales (profit/turnover).</v>
      </c>
    </row>
    <row r="25" customFormat="false" ht="16.5" hidden="false" customHeight="true" outlineLevel="0" collapsed="false">
      <c r="A25" s="373" t="s">
        <v>114</v>
      </c>
      <c r="B25" s="373"/>
      <c r="C25" s="370" t="str">
        <f aca="false">'12.lan'!D265</f>
        <v>The weighting of this theme depends on the industry sector.</v>
      </c>
    </row>
    <row r="26" customFormat="false" ht="16.5" hidden="false" customHeight="true" outlineLevel="0" collapsed="false">
      <c r="A26" s="374" t="s">
        <v>118</v>
      </c>
      <c r="B26" s="374"/>
      <c r="C26" s="370" t="str">
        <f aca="false">'12.lan'!D266</f>
        <v>The weighting of this theme depends on the company size and the industry sector.</v>
      </c>
    </row>
  </sheetData>
  <sheetProtection algorithmName="SHA-512" hashValue="s+D9NxRKN8DYnmtxK1k4PUeq93WFHZZw90gpPfGZudufZIg8YYLPV2QwrJLTlmglaJg/gsKhswuDfxItf1QsbQ==" saltValue="M0FSQarAE+j1V1yUpsaXKQ==" spinCount="100000" sheet="true" objects="true" scenarios="true"/>
  <mergeCells count="1">
    <mergeCell ref="A2:C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B6" activeCellId="0" sqref="B6"/>
    </sheetView>
  </sheetViews>
  <sheetFormatPr defaultColWidth="11.4296875" defaultRowHeight="14.25" zeroHeight="false" outlineLevelRow="0" outlineLevelCol="0"/>
  <cols>
    <col collapsed="false" customWidth="true" hidden="false" outlineLevel="0" max="1" min="1" style="375" width="9.28"/>
    <col collapsed="false" customWidth="true" hidden="false" outlineLevel="0" max="2" min="2" style="375" width="112.71"/>
    <col collapsed="false" customWidth="false" hidden="false" outlineLevel="0" max="1024" min="3" style="375" width="11.43"/>
  </cols>
  <sheetData>
    <row r="1" s="378" customFormat="true" ht="51" hidden="false" customHeight="true" outlineLevel="0" collapsed="false">
      <c r="A1" s="376" t="s">
        <v>178</v>
      </c>
      <c r="B1" s="377" t="s">
        <v>179</v>
      </c>
    </row>
    <row r="2" s="378" customFormat="true" ht="57" hidden="false" customHeight="true" outlineLevel="0" collapsed="false">
      <c r="A2" s="379" t="s">
        <v>180</v>
      </c>
      <c r="B2" s="380" t="s">
        <v>181</v>
      </c>
    </row>
    <row r="3" s="378" customFormat="true" ht="57" hidden="false" customHeight="true" outlineLevel="0" collapsed="false">
      <c r="A3" s="379" t="s">
        <v>182</v>
      </c>
      <c r="B3" s="380" t="s">
        <v>183</v>
      </c>
    </row>
    <row r="4" s="378" customFormat="true" ht="57" hidden="false" customHeight="true" outlineLevel="0" collapsed="false">
      <c r="A4" s="379" t="s">
        <v>184</v>
      </c>
      <c r="B4" s="380" t="s">
        <v>185</v>
      </c>
    </row>
    <row r="5" s="378" customFormat="true" ht="57" hidden="false" customHeight="true" outlineLevel="0" collapsed="false">
      <c r="A5" s="379" t="s">
        <v>186</v>
      </c>
      <c r="B5" s="381" t="s">
        <v>187</v>
      </c>
    </row>
    <row r="6" s="378" customFormat="true" ht="57" hidden="false" customHeight="true" outlineLevel="0" collapsed="false">
      <c r="A6" s="379" t="s">
        <v>1</v>
      </c>
      <c r="B6" s="381" t="s">
        <v>188</v>
      </c>
    </row>
  </sheetData>
  <sheetProtection algorithmName="SHA-512" hashValue="8EUGLY7lvTQbs9pySZ5E9Akrg2zPvCdW5UiWpKLaxON6ayostAqwhAVQ+KznNnWKuik82wYcJtE2IuUVJvwyBQ==" saltValue="CgzdH3CogruMR1kBMk1ZTA==" spinCount="100000"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39"/>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K33" activeCellId="0" sqref="K33"/>
    </sheetView>
  </sheetViews>
  <sheetFormatPr defaultColWidth="10.2890625" defaultRowHeight="9.75" zeroHeight="false" outlineLevelRow="0" outlineLevelCol="0"/>
  <cols>
    <col collapsed="false" customWidth="true" hidden="false" outlineLevel="0" max="1" min="1" style="382" width="6.28"/>
    <col collapsed="false" customWidth="true" hidden="false" outlineLevel="0" max="2" min="2" style="382" width="43.28"/>
    <col collapsed="false" customWidth="true" hidden="false" outlineLevel="0" max="3" min="3" style="383" width="5"/>
    <col collapsed="false" customWidth="true" hidden="false" outlineLevel="0" max="4" min="4" style="382" width="1.29"/>
    <col collapsed="false" customWidth="true" hidden="false" outlineLevel="0" max="5" min="5" style="382" width="7.85"/>
    <col collapsed="false" customWidth="true" hidden="false" outlineLevel="0" max="6" min="6" style="382" width="12.28"/>
    <col collapsed="false" customWidth="true" hidden="true" outlineLevel="0" max="7" min="7" style="382" width="9.28"/>
    <col collapsed="false" customWidth="true" hidden="true" outlineLevel="0" max="8" min="8" style="382" width="20.85"/>
    <col collapsed="false" customWidth="true" hidden="false" outlineLevel="0" max="9" min="9" style="383" width="7.85"/>
    <col collapsed="false" customWidth="true" hidden="false" outlineLevel="0" max="10" min="10" style="382" width="14.85"/>
    <col collapsed="false" customWidth="true" hidden="false" outlineLevel="0" max="11" min="11" style="383" width="7.85"/>
    <col collapsed="false" customWidth="true" hidden="false" outlineLevel="0" max="12" min="12" style="382" width="14.28"/>
    <col collapsed="false" customWidth="true" hidden="false" outlineLevel="0" max="13" min="13" style="382" width="7.85"/>
    <col collapsed="false" customWidth="true" hidden="false" outlineLevel="0" max="14" min="14" style="382" width="9.85"/>
    <col collapsed="false" customWidth="true" hidden="false" outlineLevel="0" max="15" min="15" style="382" width="2.28"/>
    <col collapsed="false" customWidth="true" hidden="false" outlineLevel="0" max="16" min="16" style="382" width="7.85"/>
    <col collapsed="false" customWidth="true" hidden="false" outlineLevel="0" max="17" min="17" style="382" width="16.28"/>
    <col collapsed="false" customWidth="false" hidden="false" outlineLevel="0" max="1024" min="18" style="382" width="10.28"/>
  </cols>
  <sheetData>
    <row r="1" customFormat="false" ht="29.25" hidden="false" customHeight="true" outlineLevel="0" collapsed="false">
      <c r="A1" s="384" t="s">
        <v>189</v>
      </c>
      <c r="B1" s="384"/>
      <c r="C1" s="384"/>
      <c r="D1" s="384"/>
      <c r="E1" s="384"/>
      <c r="F1" s="384"/>
      <c r="G1" s="384"/>
      <c r="H1" s="384"/>
      <c r="I1" s="384"/>
      <c r="J1" s="384"/>
      <c r="K1" s="384"/>
      <c r="L1" s="384"/>
      <c r="M1" s="384"/>
      <c r="N1" s="384"/>
      <c r="O1" s="384"/>
      <c r="P1" s="384"/>
      <c r="Q1" s="384"/>
    </row>
    <row r="2" customFormat="false" ht="22.5" hidden="false" customHeight="true" outlineLevel="0" collapsed="false">
      <c r="A2" s="385"/>
      <c r="B2" s="386" t="s">
        <v>190</v>
      </c>
      <c r="C2" s="387"/>
      <c r="D2" s="387"/>
      <c r="E2" s="388" t="s">
        <v>191</v>
      </c>
      <c r="F2" s="388"/>
      <c r="G2" s="389" t="s">
        <v>192</v>
      </c>
      <c r="H2" s="389"/>
      <c r="I2" s="390" t="s">
        <v>193</v>
      </c>
      <c r="J2" s="390"/>
      <c r="K2" s="387" t="s">
        <v>194</v>
      </c>
      <c r="L2" s="387"/>
      <c r="M2" s="391" t="s">
        <v>195</v>
      </c>
      <c r="N2" s="391"/>
      <c r="O2" s="392" t="s">
        <v>196</v>
      </c>
      <c r="P2" s="392"/>
      <c r="Q2" s="392"/>
      <c r="R2" s="393"/>
      <c r="S2" s="393"/>
    </row>
    <row r="3" customFormat="false" ht="111" hidden="false" customHeight="true" outlineLevel="0" collapsed="false">
      <c r="A3" s="394"/>
      <c r="B3" s="395" t="s">
        <v>197</v>
      </c>
      <c r="C3" s="396"/>
      <c r="D3" s="397"/>
      <c r="E3" s="398" t="s">
        <v>198</v>
      </c>
      <c r="F3" s="397" t="s">
        <v>199</v>
      </c>
      <c r="G3" s="399" t="s">
        <v>198</v>
      </c>
      <c r="H3" s="399" t="s">
        <v>200</v>
      </c>
      <c r="I3" s="400" t="s">
        <v>198</v>
      </c>
      <c r="J3" s="401" t="s">
        <v>201</v>
      </c>
      <c r="K3" s="396" t="s">
        <v>198</v>
      </c>
      <c r="L3" s="397" t="s">
        <v>202</v>
      </c>
      <c r="M3" s="402" t="s">
        <v>198</v>
      </c>
      <c r="N3" s="401" t="s">
        <v>203</v>
      </c>
      <c r="O3" s="403"/>
      <c r="P3" s="404" t="s">
        <v>198</v>
      </c>
      <c r="Q3" s="405" t="s">
        <v>204</v>
      </c>
    </row>
    <row r="4" customFormat="false" ht="70.5" hidden="false" customHeight="true" outlineLevel="0" collapsed="false">
      <c r="A4" s="406" t="s">
        <v>205</v>
      </c>
      <c r="B4" s="407" t="str">
        <f aca="false">'12.lan'!D268</f>
        <v>A - agriculture, forestry management, fishing industry</v>
      </c>
      <c r="C4" s="408"/>
      <c r="D4" s="409"/>
      <c r="E4" s="410" t="s">
        <v>174</v>
      </c>
      <c r="F4" s="409"/>
      <c r="G4" s="411"/>
      <c r="H4" s="411" t="s">
        <v>206</v>
      </c>
      <c r="I4" s="412" t="s">
        <v>172</v>
      </c>
      <c r="J4" s="413" t="s">
        <v>207</v>
      </c>
      <c r="K4" s="408" t="s">
        <v>174</v>
      </c>
      <c r="L4" s="409" t="s">
        <v>208</v>
      </c>
      <c r="M4" s="414" t="s">
        <v>172</v>
      </c>
      <c r="N4" s="415"/>
      <c r="O4" s="403"/>
      <c r="P4" s="416" t="s">
        <v>174</v>
      </c>
      <c r="Q4" s="405"/>
    </row>
    <row r="5" customFormat="false" ht="21" hidden="false" customHeight="true" outlineLevel="0" collapsed="false">
      <c r="A5" s="417" t="s">
        <v>209</v>
      </c>
      <c r="B5" s="407" t="str">
        <f aca="false">'12.lan'!D269</f>
        <v>B - Mining and quarrying</v>
      </c>
      <c r="C5" s="418"/>
      <c r="D5" s="419"/>
      <c r="E5" s="420" t="s">
        <v>174</v>
      </c>
      <c r="F5" s="419"/>
      <c r="G5" s="421"/>
      <c r="H5" s="421"/>
      <c r="I5" s="422" t="s">
        <v>172</v>
      </c>
      <c r="J5" s="423"/>
      <c r="K5" s="418" t="s">
        <v>174</v>
      </c>
      <c r="L5" s="419" t="s">
        <v>210</v>
      </c>
      <c r="M5" s="424" t="s">
        <v>174</v>
      </c>
      <c r="N5" s="423"/>
      <c r="O5" s="403"/>
      <c r="P5" s="416" t="s">
        <v>174</v>
      </c>
      <c r="Q5" s="405"/>
    </row>
    <row r="6" customFormat="false" ht="19.5" hidden="false" customHeight="true" outlineLevel="0" collapsed="false">
      <c r="A6" s="417" t="s">
        <v>211</v>
      </c>
      <c r="B6" s="407" t="str">
        <f aca="false">'12.lan'!D270</f>
        <v>C - Manufacturing industries (not further specified)</v>
      </c>
      <c r="C6" s="418"/>
      <c r="D6" s="425"/>
      <c r="E6" s="426" t="s">
        <v>173</v>
      </c>
      <c r="F6" s="425"/>
      <c r="G6" s="427"/>
      <c r="H6" s="427"/>
      <c r="I6" s="422" t="s">
        <v>172</v>
      </c>
      <c r="J6" s="423"/>
      <c r="K6" s="418" t="s">
        <v>173</v>
      </c>
      <c r="L6" s="425" t="s">
        <v>212</v>
      </c>
      <c r="M6" s="424" t="s">
        <v>173</v>
      </c>
      <c r="N6" s="423"/>
      <c r="O6" s="403"/>
      <c r="P6" s="416" t="s">
        <v>173</v>
      </c>
      <c r="Q6" s="405"/>
    </row>
    <row r="7" customFormat="false" ht="9.75" hidden="false" customHeight="true" outlineLevel="0" collapsed="false">
      <c r="A7" s="417" t="s">
        <v>213</v>
      </c>
      <c r="B7" s="407" t="str">
        <f aca="false">'12.lan'!D271</f>
        <v>Ca - Food production, drinks and tobacco (C10, C11, C12)</v>
      </c>
      <c r="C7" s="418"/>
      <c r="D7" s="428"/>
      <c r="E7" s="429" t="s">
        <v>174</v>
      </c>
      <c r="F7" s="428"/>
      <c r="G7" s="430"/>
      <c r="H7" s="430"/>
      <c r="I7" s="422" t="s">
        <v>172</v>
      </c>
      <c r="J7" s="423"/>
      <c r="K7" s="418" t="s">
        <v>172</v>
      </c>
      <c r="L7" s="428"/>
      <c r="M7" s="424" t="s">
        <v>172</v>
      </c>
      <c r="N7" s="423"/>
      <c r="O7" s="403"/>
      <c r="P7" s="416" t="s">
        <v>174</v>
      </c>
      <c r="Q7" s="405"/>
    </row>
    <row r="8" customFormat="false" ht="9.75" hidden="false" customHeight="true" outlineLevel="0" collapsed="false">
      <c r="A8" s="417" t="s">
        <v>214</v>
      </c>
      <c r="B8" s="407" t="str">
        <f aca="false">'12.lan'!D272</f>
        <v>Cb - Textile production, clothing, leather and leather products (C13, C14, C15)</v>
      </c>
      <c r="C8" s="418"/>
      <c r="D8" s="428"/>
      <c r="E8" s="429" t="s">
        <v>174</v>
      </c>
      <c r="F8" s="428"/>
      <c r="G8" s="430"/>
      <c r="H8" s="430"/>
      <c r="I8" s="422" t="s">
        <v>172</v>
      </c>
      <c r="J8" s="423"/>
      <c r="K8" s="418" t="s">
        <v>173</v>
      </c>
      <c r="L8" s="428"/>
      <c r="M8" s="424" t="s">
        <v>172</v>
      </c>
      <c r="N8" s="423"/>
      <c r="O8" s="403"/>
      <c r="P8" s="416" t="s">
        <v>174</v>
      </c>
      <c r="Q8" s="405"/>
    </row>
    <row r="9" customFormat="false" ht="9.75" hidden="false" customHeight="true" outlineLevel="0" collapsed="false">
      <c r="A9" s="417" t="s">
        <v>215</v>
      </c>
      <c r="B9" s="407" t="str">
        <f aca="false">'12.lan'!D273</f>
        <v>Cc - Paper and forest products, also printed matter (C16, C17, C18)</v>
      </c>
      <c r="C9" s="418"/>
      <c r="D9" s="428"/>
      <c r="E9" s="429" t="s">
        <v>173</v>
      </c>
      <c r="F9" s="428"/>
      <c r="G9" s="430"/>
      <c r="H9" s="430"/>
      <c r="I9" s="422" t="s">
        <v>172</v>
      </c>
      <c r="J9" s="423"/>
      <c r="K9" s="418" t="s">
        <v>173</v>
      </c>
      <c r="L9" s="428"/>
      <c r="M9" s="424" t="s">
        <v>172</v>
      </c>
      <c r="N9" s="423"/>
      <c r="O9" s="403"/>
      <c r="P9" s="416" t="s">
        <v>174</v>
      </c>
      <c r="Q9" s="405"/>
    </row>
    <row r="10" customFormat="false" ht="9.75" hidden="false" customHeight="true" outlineLevel="0" collapsed="false">
      <c r="A10" s="417" t="s">
        <v>216</v>
      </c>
      <c r="B10" s="407" t="str">
        <f aca="false">'12.lan'!D274</f>
        <v>Cd - Production of petrochemical products and plastics (C19, C20;C22)</v>
      </c>
      <c r="C10" s="418"/>
      <c r="D10" s="428"/>
      <c r="E10" s="429" t="s">
        <v>174</v>
      </c>
      <c r="F10" s="428"/>
      <c r="G10" s="430"/>
      <c r="H10" s="430"/>
      <c r="I10" s="422" t="s">
        <v>172</v>
      </c>
      <c r="J10" s="423"/>
      <c r="K10" s="418" t="s">
        <v>173</v>
      </c>
      <c r="L10" s="428"/>
      <c r="M10" s="424" t="s">
        <v>173</v>
      </c>
      <c r="N10" s="423"/>
      <c r="O10" s="403"/>
      <c r="P10" s="416" t="s">
        <v>174</v>
      </c>
      <c r="Q10" s="405"/>
    </row>
    <row r="11" customFormat="false" ht="19.5" hidden="false" customHeight="true" outlineLevel="0" collapsed="false">
      <c r="A11" s="417" t="s">
        <v>217</v>
      </c>
      <c r="B11" s="407" t="str">
        <f aca="false">'12.lan'!D275</f>
        <v>Ce - Pharmaceutical products and preparations (C21)</v>
      </c>
      <c r="C11" s="418"/>
      <c r="D11" s="428"/>
      <c r="E11" s="429" t="s">
        <v>172</v>
      </c>
      <c r="F11" s="428"/>
      <c r="G11" s="430"/>
      <c r="H11" s="430"/>
      <c r="I11" s="422" t="s">
        <v>173</v>
      </c>
      <c r="J11" s="431" t="s">
        <v>218</v>
      </c>
      <c r="K11" s="418" t="s">
        <v>173</v>
      </c>
      <c r="L11" s="428"/>
      <c r="M11" s="424" t="s">
        <v>173</v>
      </c>
      <c r="N11" s="423"/>
      <c r="O11" s="403"/>
      <c r="P11" s="416" t="s">
        <v>173</v>
      </c>
      <c r="Q11" s="405"/>
    </row>
    <row r="12" customFormat="false" ht="9.75" hidden="false" customHeight="true" outlineLevel="0" collapsed="false">
      <c r="A12" s="417" t="s">
        <v>219</v>
      </c>
      <c r="B12" s="407" t="str">
        <f aca="false">'12.lan'!D276</f>
        <v>Cf - Production of non-metallic minerals (C23)</v>
      </c>
      <c r="C12" s="418"/>
      <c r="D12" s="428"/>
      <c r="E12" s="429" t="s">
        <v>173</v>
      </c>
      <c r="F12" s="428"/>
      <c r="G12" s="430"/>
      <c r="H12" s="430"/>
      <c r="I12" s="422" t="s">
        <v>172</v>
      </c>
      <c r="J12" s="431"/>
      <c r="K12" s="418" t="s">
        <v>173</v>
      </c>
      <c r="L12" s="428"/>
      <c r="M12" s="424" t="s">
        <v>173</v>
      </c>
      <c r="N12" s="423"/>
      <c r="O12" s="403"/>
      <c r="P12" s="416" t="s">
        <v>173</v>
      </c>
      <c r="Q12" s="405"/>
    </row>
    <row r="13" customFormat="false" ht="9.75" hidden="false" customHeight="true" outlineLevel="0" collapsed="false">
      <c r="A13" s="417" t="s">
        <v>220</v>
      </c>
      <c r="B13" s="407" t="str">
        <f aca="false">'12.lan'!D277</f>
        <v>Cg - Production of metal and metallic products (excl. machines and equipment) (C24, C25)</v>
      </c>
      <c r="C13" s="418"/>
      <c r="D13" s="428"/>
      <c r="E13" s="429" t="s">
        <v>174</v>
      </c>
      <c r="F13" s="428"/>
      <c r="G13" s="430"/>
      <c r="H13" s="430"/>
      <c r="I13" s="422" t="s">
        <v>172</v>
      </c>
      <c r="J13" s="431"/>
      <c r="K13" s="418" t="s">
        <v>173</v>
      </c>
      <c r="L13" s="428"/>
      <c r="M13" s="424" t="s">
        <v>173</v>
      </c>
      <c r="N13" s="423"/>
      <c r="O13" s="403"/>
      <c r="P13" s="416" t="s">
        <v>174</v>
      </c>
      <c r="Q13" s="405"/>
    </row>
    <row r="14" customFormat="false" ht="9.75" hidden="false" customHeight="true" outlineLevel="0" collapsed="false">
      <c r="A14" s="417" t="s">
        <v>221</v>
      </c>
      <c r="B14" s="407" t="str">
        <f aca="false">'12.lan'!D278</f>
        <v>Ch - Production of electronic equipment, instruments and components as well as computers (C26, C27, C28)</v>
      </c>
      <c r="C14" s="418"/>
      <c r="D14" s="428"/>
      <c r="E14" s="429" t="s">
        <v>174</v>
      </c>
      <c r="F14" s="428"/>
      <c r="G14" s="430"/>
      <c r="H14" s="430"/>
      <c r="I14" s="422" t="s">
        <v>173</v>
      </c>
      <c r="J14" s="431"/>
      <c r="K14" s="418" t="s">
        <v>173</v>
      </c>
      <c r="L14" s="428"/>
      <c r="M14" s="424" t="s">
        <v>173</v>
      </c>
      <c r="N14" s="423"/>
      <c r="O14" s="403"/>
      <c r="P14" s="416" t="s">
        <v>174</v>
      </c>
      <c r="Q14" s="405"/>
    </row>
    <row r="15" customFormat="false" ht="19.5" hidden="false" customHeight="true" outlineLevel="0" collapsed="false">
      <c r="A15" s="417" t="s">
        <v>222</v>
      </c>
      <c r="B15" s="407" t="str">
        <f aca="false">'12.lan'!D279</f>
        <v>D - Electric, Gas, Steam and Refrigeration</v>
      </c>
      <c r="C15" s="418"/>
      <c r="D15" s="432"/>
      <c r="E15" s="433" t="s">
        <v>172</v>
      </c>
      <c r="F15" s="434"/>
      <c r="G15" s="435"/>
      <c r="H15" s="435"/>
      <c r="I15" s="422" t="s">
        <v>172</v>
      </c>
      <c r="J15" s="423"/>
      <c r="K15" s="418" t="s">
        <v>174</v>
      </c>
      <c r="L15" s="432" t="s">
        <v>223</v>
      </c>
      <c r="M15" s="424" t="s">
        <v>173</v>
      </c>
      <c r="N15" s="423"/>
      <c r="O15" s="403"/>
      <c r="P15" s="416" t="s">
        <v>174</v>
      </c>
      <c r="Q15" s="405"/>
    </row>
    <row r="16" customFormat="false" ht="19.5" hidden="false" customHeight="true" outlineLevel="0" collapsed="false">
      <c r="A16" s="417" t="s">
        <v>224</v>
      </c>
      <c r="B16" s="407" t="str">
        <f aca="false">'12.lan'!D280</f>
        <v>E - Water supply, waste management</v>
      </c>
      <c r="C16" s="418"/>
      <c r="D16" s="419"/>
      <c r="E16" s="420" t="s">
        <v>172</v>
      </c>
      <c r="F16" s="419"/>
      <c r="G16" s="421"/>
      <c r="H16" s="421"/>
      <c r="I16" s="422" t="s">
        <v>173</v>
      </c>
      <c r="J16" s="423"/>
      <c r="K16" s="418" t="s">
        <v>173</v>
      </c>
      <c r="L16" s="419"/>
      <c r="M16" s="424" t="s">
        <v>173</v>
      </c>
      <c r="N16" s="423"/>
      <c r="O16" s="403"/>
      <c r="P16" s="416" t="s">
        <v>172</v>
      </c>
      <c r="Q16" s="405"/>
    </row>
    <row r="17" customFormat="false" ht="39.75" hidden="false" customHeight="true" outlineLevel="0" collapsed="false">
      <c r="A17" s="417" t="s">
        <v>225</v>
      </c>
      <c r="B17" s="407" t="str">
        <f aca="false">'12.lan'!D281</f>
        <v>F - Construction industry</v>
      </c>
      <c r="C17" s="418"/>
      <c r="D17" s="419"/>
      <c r="E17" s="420" t="s">
        <v>174</v>
      </c>
      <c r="F17" s="419"/>
      <c r="G17" s="421"/>
      <c r="H17" s="421"/>
      <c r="I17" s="422" t="s">
        <v>174</v>
      </c>
      <c r="J17" s="423"/>
      <c r="K17" s="418" t="s">
        <v>174</v>
      </c>
      <c r="L17" s="419" t="s">
        <v>226</v>
      </c>
      <c r="M17" s="424" t="s">
        <v>174</v>
      </c>
      <c r="N17" s="423"/>
      <c r="O17" s="403"/>
      <c r="P17" s="416" t="s">
        <v>174</v>
      </c>
      <c r="Q17" s="405"/>
    </row>
    <row r="18" customFormat="false" ht="9.75" hidden="false" customHeight="true" outlineLevel="0" collapsed="false">
      <c r="A18" s="417" t="s">
        <v>227</v>
      </c>
      <c r="B18" s="407" t="str">
        <f aca="false">'12.lan'!D282</f>
        <v>G - Wholesale and retail</v>
      </c>
      <c r="C18" s="418"/>
      <c r="D18" s="419"/>
      <c r="E18" s="420" t="s">
        <v>172</v>
      </c>
      <c r="F18" s="419"/>
      <c r="G18" s="421"/>
      <c r="H18" s="421"/>
      <c r="I18" s="422" t="s">
        <v>174</v>
      </c>
      <c r="J18" s="423"/>
      <c r="K18" s="418" t="s">
        <v>172</v>
      </c>
      <c r="L18" s="419"/>
      <c r="M18" s="424" t="s">
        <v>172</v>
      </c>
      <c r="N18" s="423"/>
      <c r="O18" s="403"/>
      <c r="P18" s="416" t="s">
        <v>173</v>
      </c>
      <c r="Q18" s="405"/>
    </row>
    <row r="19" customFormat="false" ht="9.75" hidden="false" customHeight="true" outlineLevel="0" collapsed="false">
      <c r="A19" s="417" t="s">
        <v>228</v>
      </c>
      <c r="B19" s="407" t="str">
        <f aca="false">'12.lan'!D283</f>
        <v>H - Transport and warehousing</v>
      </c>
      <c r="C19" s="418"/>
      <c r="D19" s="419"/>
      <c r="E19" s="420" t="s">
        <v>172</v>
      </c>
      <c r="F19" s="419"/>
      <c r="G19" s="421"/>
      <c r="H19" s="421"/>
      <c r="I19" s="422" t="s">
        <v>172</v>
      </c>
      <c r="J19" s="423"/>
      <c r="K19" s="418" t="s">
        <v>174</v>
      </c>
      <c r="L19" s="419"/>
      <c r="M19" s="424" t="s">
        <v>172</v>
      </c>
      <c r="N19" s="423"/>
      <c r="O19" s="403"/>
      <c r="P19" s="416" t="s">
        <v>173</v>
      </c>
      <c r="Q19" s="405"/>
    </row>
    <row r="20" customFormat="false" ht="9.75" hidden="false" customHeight="true" outlineLevel="0" collapsed="false">
      <c r="A20" s="417" t="s">
        <v>229</v>
      </c>
      <c r="B20" s="407" t="str">
        <f aca="false">'12.lan'!D284</f>
        <v>I - Accommodation and catering</v>
      </c>
      <c r="C20" s="418"/>
      <c r="D20" s="419"/>
      <c r="E20" s="420" t="s">
        <v>173</v>
      </c>
      <c r="F20" s="419"/>
      <c r="G20" s="421"/>
      <c r="H20" s="421"/>
      <c r="I20" s="422" t="s">
        <v>172</v>
      </c>
      <c r="J20" s="423"/>
      <c r="K20" s="418" t="s">
        <v>173</v>
      </c>
      <c r="L20" s="419"/>
      <c r="M20" s="424" t="s">
        <v>172</v>
      </c>
      <c r="N20" s="423"/>
      <c r="O20" s="403"/>
      <c r="P20" s="416" t="s">
        <v>173</v>
      </c>
      <c r="Q20" s="405"/>
    </row>
    <row r="21" customFormat="false" ht="9.75" hidden="false" customHeight="true" outlineLevel="0" collapsed="false">
      <c r="A21" s="417" t="s">
        <v>230</v>
      </c>
      <c r="B21" s="407" t="str">
        <f aca="false">'12.lan'!D285</f>
        <v>J - Information and Communication</v>
      </c>
      <c r="C21" s="418"/>
      <c r="D21" s="419"/>
      <c r="E21" s="420" t="s">
        <v>172</v>
      </c>
      <c r="F21" s="419"/>
      <c r="G21" s="421"/>
      <c r="H21" s="421"/>
      <c r="I21" s="422" t="s">
        <v>172</v>
      </c>
      <c r="J21" s="423"/>
      <c r="K21" s="418" t="s">
        <v>173</v>
      </c>
      <c r="L21" s="419"/>
      <c r="M21" s="424" t="s">
        <v>172</v>
      </c>
      <c r="N21" s="423"/>
      <c r="O21" s="403"/>
      <c r="P21" s="416" t="s">
        <v>173</v>
      </c>
      <c r="Q21" s="405"/>
    </row>
    <row r="22" customFormat="false" ht="9.75" hidden="false" customHeight="true" outlineLevel="0" collapsed="false">
      <c r="A22" s="417" t="s">
        <v>231</v>
      </c>
      <c r="B22" s="407" t="str">
        <f aca="false">'12.lan'!D286</f>
        <v>K - Financial services</v>
      </c>
      <c r="C22" s="418"/>
      <c r="D22" s="419"/>
      <c r="E22" s="420" t="s">
        <v>172</v>
      </c>
      <c r="F22" s="419"/>
      <c r="G22" s="421"/>
      <c r="H22" s="421"/>
      <c r="I22" s="422" t="s">
        <v>174</v>
      </c>
      <c r="J22" s="423"/>
      <c r="K22" s="418" t="s">
        <v>172</v>
      </c>
      <c r="L22" s="419"/>
      <c r="M22" s="424" t="s">
        <v>172</v>
      </c>
      <c r="N22" s="423"/>
      <c r="O22" s="403"/>
      <c r="P22" s="416" t="s">
        <v>172</v>
      </c>
      <c r="Q22" s="405"/>
    </row>
    <row r="23" customFormat="false" ht="9.75" hidden="false" customHeight="true" outlineLevel="0" collapsed="false">
      <c r="A23" s="417" t="s">
        <v>232</v>
      </c>
      <c r="B23" s="407" t="str">
        <f aca="false">'12.lan'!D287</f>
        <v>L - Real estate</v>
      </c>
      <c r="C23" s="418"/>
      <c r="D23" s="419"/>
      <c r="E23" s="420" t="s">
        <v>172</v>
      </c>
      <c r="F23" s="419"/>
      <c r="G23" s="421"/>
      <c r="H23" s="421"/>
      <c r="I23" s="422" t="s">
        <v>174</v>
      </c>
      <c r="J23" s="423"/>
      <c r="K23" s="418" t="s">
        <v>172</v>
      </c>
      <c r="L23" s="419"/>
      <c r="M23" s="424" t="s">
        <v>172</v>
      </c>
      <c r="N23" s="423"/>
      <c r="O23" s="403"/>
      <c r="P23" s="416" t="s">
        <v>173</v>
      </c>
      <c r="Q23" s="405"/>
    </row>
    <row r="24" customFormat="false" ht="9.75" hidden="false" customHeight="true" outlineLevel="0" collapsed="false">
      <c r="A24" s="417" t="s">
        <v>233</v>
      </c>
      <c r="B24" s="407" t="str">
        <f aca="false">'12.lan'!D288</f>
        <v>M - Professional, technical and scientific services</v>
      </c>
      <c r="C24" s="418"/>
      <c r="D24" s="419"/>
      <c r="E24" s="420" t="s">
        <v>172</v>
      </c>
      <c r="F24" s="419"/>
      <c r="G24" s="421"/>
      <c r="H24" s="421"/>
      <c r="I24" s="422" t="s">
        <v>172</v>
      </c>
      <c r="J24" s="423"/>
      <c r="K24" s="418" t="s">
        <v>172</v>
      </c>
      <c r="L24" s="419"/>
      <c r="M24" s="424" t="s">
        <v>172</v>
      </c>
      <c r="N24" s="423"/>
      <c r="O24" s="403"/>
      <c r="P24" s="416" t="s">
        <v>172</v>
      </c>
      <c r="Q24" s="405"/>
    </row>
    <row r="25" customFormat="false" ht="9.75" hidden="false" customHeight="true" outlineLevel="0" collapsed="false">
      <c r="A25" s="417" t="s">
        <v>234</v>
      </c>
      <c r="B25" s="407" t="str">
        <f aca="false">'12.lan'!D289</f>
        <v>N - Administrative and support services</v>
      </c>
      <c r="C25" s="418"/>
      <c r="D25" s="419"/>
      <c r="E25" s="420" t="s">
        <v>172</v>
      </c>
      <c r="F25" s="419"/>
      <c r="G25" s="421"/>
      <c r="H25" s="421"/>
      <c r="I25" s="422" t="s">
        <v>172</v>
      </c>
      <c r="J25" s="423"/>
      <c r="K25" s="418" t="s">
        <v>172</v>
      </c>
      <c r="L25" s="419"/>
      <c r="M25" s="424" t="s">
        <v>172</v>
      </c>
      <c r="N25" s="423"/>
      <c r="O25" s="403"/>
      <c r="P25" s="416" t="s">
        <v>172</v>
      </c>
      <c r="Q25" s="405"/>
    </row>
    <row r="26" customFormat="false" ht="11.25" hidden="false" customHeight="true" outlineLevel="0" collapsed="false">
      <c r="A26" s="417" t="s">
        <v>235</v>
      </c>
      <c r="B26" s="407" t="str">
        <f aca="false">'12.lan'!D290</f>
        <v>O - Public administration; defence; social security</v>
      </c>
      <c r="C26" s="418"/>
      <c r="D26" s="419"/>
      <c r="E26" s="420" t="s">
        <v>172</v>
      </c>
      <c r="F26" s="419"/>
      <c r="G26" s="421"/>
      <c r="H26" s="421"/>
      <c r="I26" s="422" t="s">
        <v>172</v>
      </c>
      <c r="J26" s="423"/>
      <c r="K26" s="418" t="s">
        <v>172</v>
      </c>
      <c r="L26" s="419"/>
      <c r="M26" s="424" t="s">
        <v>172</v>
      </c>
      <c r="N26" s="423"/>
      <c r="O26" s="403"/>
      <c r="P26" s="416" t="s">
        <v>172</v>
      </c>
      <c r="Q26" s="405"/>
    </row>
    <row r="27" customFormat="false" ht="9.75" hidden="false" customHeight="true" outlineLevel="0" collapsed="false">
      <c r="A27" s="417" t="s">
        <v>236</v>
      </c>
      <c r="B27" s="407" t="str">
        <f aca="false">'12.lan'!D291</f>
        <v>P - Education</v>
      </c>
      <c r="C27" s="418"/>
      <c r="D27" s="419"/>
      <c r="E27" s="420" t="s">
        <v>172</v>
      </c>
      <c r="F27" s="419"/>
      <c r="G27" s="421"/>
      <c r="H27" s="421"/>
      <c r="I27" s="422" t="s">
        <v>172</v>
      </c>
      <c r="J27" s="423"/>
      <c r="K27" s="418" t="s">
        <v>172</v>
      </c>
      <c r="L27" s="419"/>
      <c r="M27" s="424" t="s">
        <v>172</v>
      </c>
      <c r="N27" s="423"/>
      <c r="O27" s="403"/>
      <c r="P27" s="416" t="s">
        <v>172</v>
      </c>
      <c r="Q27" s="405"/>
    </row>
    <row r="28" customFormat="false" ht="9.75" hidden="false" customHeight="true" outlineLevel="0" collapsed="false">
      <c r="A28" s="417" t="s">
        <v>237</v>
      </c>
      <c r="B28" s="407" t="str">
        <f aca="false">'12.lan'!D292</f>
        <v>Q - Health and social work</v>
      </c>
      <c r="C28" s="418"/>
      <c r="D28" s="419"/>
      <c r="E28" s="420" t="s">
        <v>172</v>
      </c>
      <c r="F28" s="419"/>
      <c r="G28" s="421"/>
      <c r="H28" s="421"/>
      <c r="I28" s="422" t="s">
        <v>172</v>
      </c>
      <c r="J28" s="423"/>
      <c r="K28" s="418" t="s">
        <v>172</v>
      </c>
      <c r="L28" s="419"/>
      <c r="M28" s="424" t="s">
        <v>172</v>
      </c>
      <c r="N28" s="423"/>
      <c r="O28" s="403"/>
      <c r="P28" s="416" t="s">
        <v>172</v>
      </c>
      <c r="Q28" s="405"/>
    </row>
    <row r="29" customFormat="false" ht="9.75" hidden="false" customHeight="true" outlineLevel="0" collapsed="false">
      <c r="A29" s="417" t="s">
        <v>238</v>
      </c>
      <c r="B29" s="407" t="str">
        <f aca="false">'12.lan'!D293</f>
        <v>R - Art, education and leisure</v>
      </c>
      <c r="C29" s="418"/>
      <c r="D29" s="419"/>
      <c r="E29" s="420" t="s">
        <v>172</v>
      </c>
      <c r="F29" s="419"/>
      <c r="G29" s="421"/>
      <c r="H29" s="421"/>
      <c r="I29" s="422" t="s">
        <v>172</v>
      </c>
      <c r="J29" s="423"/>
      <c r="K29" s="418" t="s">
        <v>172</v>
      </c>
      <c r="L29" s="419"/>
      <c r="M29" s="424" t="s">
        <v>172</v>
      </c>
      <c r="N29" s="423"/>
      <c r="O29" s="403"/>
      <c r="P29" s="416" t="s">
        <v>172</v>
      </c>
      <c r="Q29" s="405"/>
    </row>
    <row r="30" customFormat="false" ht="9.75" hidden="false" customHeight="true" outlineLevel="0" collapsed="false">
      <c r="A30" s="417" t="s">
        <v>239</v>
      </c>
      <c r="B30" s="407" t="str">
        <f aca="false">'12.lan'!D294</f>
        <v>S - Other services</v>
      </c>
      <c r="C30" s="418"/>
      <c r="D30" s="419"/>
      <c r="E30" s="420" t="s">
        <v>172</v>
      </c>
      <c r="F30" s="419"/>
      <c r="G30" s="421"/>
      <c r="H30" s="421"/>
      <c r="I30" s="422" t="s">
        <v>172</v>
      </c>
      <c r="J30" s="423"/>
      <c r="K30" s="418" t="s">
        <v>172</v>
      </c>
      <c r="L30" s="419"/>
      <c r="M30" s="424" t="s">
        <v>172</v>
      </c>
      <c r="N30" s="423"/>
      <c r="O30" s="403"/>
      <c r="P30" s="416" t="s">
        <v>172</v>
      </c>
      <c r="Q30" s="405"/>
    </row>
    <row r="31" customFormat="false" ht="11.25" hidden="false" customHeight="true" outlineLevel="0" collapsed="false">
      <c r="A31" s="417" t="s">
        <v>240</v>
      </c>
      <c r="B31" s="407" t="str">
        <f aca="false">'12.lan'!D295</f>
        <v>Please enter</v>
      </c>
      <c r="C31" s="418"/>
      <c r="D31" s="419"/>
      <c r="E31" s="420" t="s">
        <v>172</v>
      </c>
      <c r="F31" s="419"/>
      <c r="G31" s="421"/>
      <c r="H31" s="421"/>
      <c r="I31" s="422" t="s">
        <v>172</v>
      </c>
      <c r="J31" s="423"/>
      <c r="K31" s="418" t="s">
        <v>172</v>
      </c>
      <c r="L31" s="419"/>
      <c r="M31" s="424" t="s">
        <v>172</v>
      </c>
      <c r="N31" s="423"/>
      <c r="O31" s="436"/>
      <c r="P31" s="437" t="s">
        <v>172</v>
      </c>
      <c r="Q31" s="438"/>
    </row>
    <row r="32" customFormat="false" ht="12" hidden="false" customHeight="true" outlineLevel="0" collapsed="false">
      <c r="A32" s="439" t="s">
        <v>241</v>
      </c>
      <c r="B32" s="407" t="str">
        <f aca="false">'12.lan'!D296</f>
        <v>U - Extraterritorial organisations and bodies</v>
      </c>
      <c r="C32" s="418"/>
      <c r="D32" s="419"/>
      <c r="E32" s="420" t="s">
        <v>172</v>
      </c>
      <c r="F32" s="419"/>
      <c r="G32" s="421"/>
      <c r="H32" s="421"/>
      <c r="I32" s="422" t="s">
        <v>172</v>
      </c>
      <c r="J32" s="423"/>
      <c r="K32" s="418" t="s">
        <v>172</v>
      </c>
      <c r="L32" s="419"/>
      <c r="M32" s="424" t="s">
        <v>172</v>
      </c>
      <c r="N32" s="423"/>
      <c r="O32" s="436"/>
      <c r="P32" s="437" t="s">
        <v>172</v>
      </c>
      <c r="Q32" s="438"/>
    </row>
    <row r="34" customFormat="false" ht="9.75" hidden="false" customHeight="true" outlineLevel="0" collapsed="false">
      <c r="A34" s="440" t="str">
        <f aca="false">'9. Weighting'!H35</f>
        <v>J </v>
      </c>
      <c r="B34" s="441" t="s">
        <v>242</v>
      </c>
      <c r="C34" s="442" t="n">
        <f aca="false">'9. Weighting'!I35</f>
        <v>0.87</v>
      </c>
      <c r="D34" s="441"/>
      <c r="E34" s="441"/>
      <c r="F34" s="441"/>
      <c r="G34" s="441"/>
      <c r="H34" s="441"/>
      <c r="I34" s="443" t="str">
        <f aca="false">IFERROR(VLOOKUP(A34,'10. Industry'!$A$4:$O$32,9,FALSE()),"mittel")</f>
        <v>mittel</v>
      </c>
      <c r="J34" s="444" t="n">
        <f aca="false">VLOOKUP(I34,'9. Weighting'!$F$49:$H$53,3,FALSE())</f>
        <v>1</v>
      </c>
      <c r="K34" s="443" t="str">
        <f aca="false">IFERROR(VLOOKUP(A34,'10. Industry'!$A$4:$O$32,11,FALSE()),"mittel")</f>
        <v>hoch</v>
      </c>
      <c r="L34" s="445" t="n">
        <f aca="false">VLOOKUP(K34,'9. Weighting'!$F$49:$H$53,3,FALSE())</f>
        <v>1.5</v>
      </c>
    </row>
    <row r="35" customFormat="false" ht="9.75" hidden="false" customHeight="true" outlineLevel="0" collapsed="false">
      <c r="A35" s="446" t="str">
        <f aca="false">'9. Weighting'!H36</f>
        <v>Ce</v>
      </c>
      <c r="B35" s="382" t="s">
        <v>243</v>
      </c>
      <c r="C35" s="447" t="n">
        <f aca="false">'9. Weighting'!I36</f>
        <v>0.13</v>
      </c>
      <c r="I35" s="383" t="str">
        <f aca="false">IFERROR(VLOOKUP(A35,'10. Industry'!$A$4:$O$32,9,FALSE()),"mittel")</f>
        <v>hoch</v>
      </c>
      <c r="J35" s="448" t="n">
        <f aca="false">VLOOKUP(I35,'9. Weighting'!$F$49:$H$53,3,FALSE())</f>
        <v>1.5</v>
      </c>
      <c r="K35" s="383" t="str">
        <f aca="false">IFERROR(VLOOKUP(A35,'10. Industry'!$A$4:$O$32,11,FALSE()),"mittel")</f>
        <v>hoch</v>
      </c>
      <c r="L35" s="449" t="n">
        <f aca="false">VLOOKUP(K35,'9. Weighting'!$F$49:$H$53,3,FALSE())</f>
        <v>1.5</v>
      </c>
    </row>
    <row r="36" customFormat="false" ht="9.75" hidden="false" customHeight="true" outlineLevel="0" collapsed="false">
      <c r="A36" s="446" t="str">
        <f aca="false">'9. Weighting'!H37</f>
        <v>Pl</v>
      </c>
      <c r="B36" s="382" t="s">
        <v>244</v>
      </c>
      <c r="C36" s="447" t="n">
        <f aca="false">'9. Weighting'!I37</f>
        <v>0</v>
      </c>
      <c r="I36" s="383" t="str">
        <f aca="false">IFERROR(VLOOKUP(A36,'10. Industry'!$A$4:$O$32,9,FALSE()),"mittel")</f>
        <v>mittel</v>
      </c>
      <c r="J36" s="448" t="n">
        <f aca="false">VLOOKUP(I36,'9. Weighting'!$F$49:$H$53,3,FALSE())</f>
        <v>1</v>
      </c>
      <c r="K36" s="383" t="str">
        <f aca="false">IFERROR(VLOOKUP(A36,'10. Industry'!$A$4:$O$32,11,FALSE()),"mittel")</f>
        <v>mittel</v>
      </c>
      <c r="L36" s="449" t="n">
        <f aca="false">VLOOKUP(K36,'9. Weighting'!$F$49:$H$53,3,FALSE())</f>
        <v>1</v>
      </c>
    </row>
    <row r="37" customFormat="false" ht="9.75" hidden="false" customHeight="true" outlineLevel="0" collapsed="false">
      <c r="A37" s="446"/>
      <c r="C37" s="450" t="n">
        <f aca="false">1-SUM(C34:C36)</f>
        <v>0</v>
      </c>
      <c r="I37" s="383" t="s">
        <v>172</v>
      </c>
      <c r="J37" s="448" t="n">
        <f aca="false">VLOOKUP(I37,'9. Weighting'!$F$49:$H$53,3,FALSE())</f>
        <v>1</v>
      </c>
      <c r="K37" s="383" t="s">
        <v>172</v>
      </c>
      <c r="L37" s="449" t="n">
        <f aca="false">VLOOKUP(K37,'9. Weighting'!$F$49:$H$53,3,FALSE())</f>
        <v>1</v>
      </c>
    </row>
    <row r="38" customFormat="false" ht="9.75" hidden="false" customHeight="true" outlineLevel="0" collapsed="false">
      <c r="A38" s="446"/>
      <c r="C38" s="450" t="n">
        <f aca="false">SUM(C34:C37)</f>
        <v>1</v>
      </c>
      <c r="J38" s="448" t="n">
        <f aca="false">C34*J34+C35*J35+C36*J36+C37*J37</f>
        <v>1.065</v>
      </c>
      <c r="L38" s="449" t="n">
        <f aca="false">C34*L34+C35*L35+C36*L36+C37*L37</f>
        <v>1.5</v>
      </c>
    </row>
    <row r="39" customFormat="false" ht="9.75" hidden="false" customHeight="true" outlineLevel="0" collapsed="false">
      <c r="A39" s="451"/>
      <c r="B39" s="452" t="s">
        <v>245</v>
      </c>
      <c r="C39" s="453"/>
      <c r="D39" s="454"/>
      <c r="E39" s="454"/>
      <c r="F39" s="454"/>
      <c r="G39" s="454"/>
      <c r="H39" s="454"/>
      <c r="I39" s="453"/>
      <c r="J39" s="454" t="str">
        <f aca="false">IF(J38&lt;0.75,"niedrig",IF(J38&lt;1.25,"mittel",IF(J38&gt;1.75,"sehr hoch","hoch")))</f>
        <v>mittel</v>
      </c>
      <c r="K39" s="453"/>
      <c r="L39" s="455" t="str">
        <f aca="false">IF(L38&lt;0.75,"niedrig",IF(L38&lt;1.25,"mittel",IF(L38&gt;1.75,"sehr hoch","hoch")))</f>
        <v>hoch</v>
      </c>
    </row>
  </sheetData>
  <sheetProtection algorithmName="SHA-512" hashValue="HHLdNHP3TVXl633gYcZegah4r92YIeqjfkmkNBPtYRkHitlsOnE/MrdkqizcGhdplWZPgB07rCXIVsHEMQlvxg==" saltValue="xDTcU5CyoamzSP4S2R6i+w==" spinCount="100000" sheet="true" selectLockedCells="true" selectUnlockedCells="true"/>
  <mergeCells count="9">
    <mergeCell ref="A1:Q1"/>
    <mergeCell ref="C2:D2"/>
    <mergeCell ref="E2:F2"/>
    <mergeCell ref="G2:H2"/>
    <mergeCell ref="I2:J2"/>
    <mergeCell ref="K2:L2"/>
    <mergeCell ref="M2:N2"/>
    <mergeCell ref="O2:Q2"/>
    <mergeCell ref="R2:S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293"/>
  <sheetViews>
    <sheetView showFormulas="false" showGridLines="true" showRowColHeaders="true" showZeros="true" rightToLeft="false" tabSelected="false" showOutlineSymbols="true" defaultGridColor="true" view="normal" topLeftCell="A2" colorId="64" zoomScale="110" zoomScaleNormal="110" zoomScalePageLayoutView="100" workbookViewId="0">
      <pane xSplit="0" ySplit="1125" topLeftCell="A1" activePane="bottomLeft" state="split"/>
      <selection pane="topLeft" activeCell="A2" activeCellId="0" sqref="A2"/>
      <selection pane="bottomLeft" activeCell="C22" activeCellId="0" sqref="C22"/>
    </sheetView>
  </sheetViews>
  <sheetFormatPr defaultColWidth="10.2890625" defaultRowHeight="9.75" zeroHeight="false" outlineLevelRow="0" outlineLevelCol="0"/>
  <cols>
    <col collapsed="false" customWidth="true" hidden="false" outlineLevel="0" max="1" min="1" style="456" width="18"/>
    <col collapsed="false" customWidth="true" hidden="false" outlineLevel="0" max="3" min="2" style="457" width="16.28"/>
    <col collapsed="false" customWidth="true" hidden="false" outlineLevel="0" max="4" min="4" style="457" width="19.28"/>
    <col collapsed="false" customWidth="true" hidden="false" outlineLevel="0" max="5" min="5" style="457" width="22.28"/>
    <col collapsed="false" customWidth="true" hidden="false" outlineLevel="0" max="6" min="6" style="457" width="20.28"/>
    <col collapsed="false" customWidth="false" hidden="false" outlineLevel="0" max="7" min="7" style="457" width="10.28"/>
    <col collapsed="false" customWidth="false" hidden="false" outlineLevel="0" max="9" min="8" style="456" width="10.28"/>
    <col collapsed="false" customWidth="true" hidden="false" outlineLevel="0" max="10" min="10" style="456" width="10.85"/>
    <col collapsed="false" customWidth="false" hidden="false" outlineLevel="0" max="1024" min="11" style="456" width="10.28"/>
  </cols>
  <sheetData>
    <row r="1" customFormat="false" ht="27" hidden="false" customHeight="true" outlineLevel="0" collapsed="false">
      <c r="A1" s="458" t="s">
        <v>246</v>
      </c>
      <c r="B1" s="458"/>
      <c r="C1" s="458"/>
      <c r="D1" s="458"/>
      <c r="E1" s="458"/>
      <c r="F1" s="458"/>
      <c r="G1" s="458"/>
    </row>
    <row r="2" customFormat="false" ht="34.5" hidden="false" customHeight="true" outlineLevel="0" collapsed="false">
      <c r="A2" s="459"/>
      <c r="B2" s="460" t="s">
        <v>247</v>
      </c>
      <c r="C2" s="461" t="s">
        <v>248</v>
      </c>
      <c r="D2" s="461" t="s">
        <v>249</v>
      </c>
      <c r="E2" s="460" t="s">
        <v>250</v>
      </c>
      <c r="F2" s="460" t="s">
        <v>251</v>
      </c>
      <c r="G2" s="460" t="s">
        <v>252</v>
      </c>
      <c r="H2" s="462" t="s">
        <v>253</v>
      </c>
      <c r="I2" s="463" t="s">
        <v>254</v>
      </c>
      <c r="J2" s="464" t="s">
        <v>136</v>
      </c>
      <c r="K2" s="465" t="s">
        <v>255</v>
      </c>
      <c r="L2" s="466" t="s">
        <v>256</v>
      </c>
      <c r="M2" s="466"/>
      <c r="N2" s="466"/>
      <c r="O2" s="467" t="s">
        <v>257</v>
      </c>
      <c r="P2" s="467"/>
      <c r="Q2" s="467"/>
    </row>
    <row r="3" customFormat="false" ht="9.75" hidden="false" customHeight="true" outlineLevel="0" collapsed="false">
      <c r="A3" s="459" t="s">
        <v>258</v>
      </c>
      <c r="B3" s="468" t="n">
        <f aca="false">'9. Weighting'!I10</f>
        <v>200000</v>
      </c>
      <c r="C3" s="469" t="n">
        <f aca="false">'9. Weighting'!I13</f>
        <v>3388</v>
      </c>
      <c r="D3" s="470" t="str">
        <f aca="false">'9. Weighting'!H13</f>
        <v>EGY Ägypten</v>
      </c>
      <c r="E3" s="471" t="n">
        <f aca="false">IFERROR(VLOOKUP(D3,$A$22:$G$400,3,FALSE()),$C$243)</f>
        <v>1.00304566871495</v>
      </c>
      <c r="F3" s="472" t="n">
        <f aca="false">IFERROR(C3*E3,"0")</f>
        <v>3398.31872560625</v>
      </c>
      <c r="G3" s="473" t="n">
        <f aca="false">SUM(F3:F8)</f>
        <v>200609.13374299</v>
      </c>
      <c r="H3" s="474" t="n">
        <f aca="false">IFERROR(F3/$G$3,"-")</f>
        <v>0.01694</v>
      </c>
      <c r="I3" s="456" t="n">
        <f aca="false">IFERROR(VLOOKUP(D3,$A$21:$I$134,6,FALSE()),2.99)</f>
        <v>2.99</v>
      </c>
      <c r="J3" s="475" t="str">
        <f aca="false">'9. Weighting'!E13</f>
        <v>A </v>
      </c>
      <c r="K3" s="456" t="n">
        <f aca="false">'9. Weighting'!G13</f>
        <v>0</v>
      </c>
      <c r="L3" s="456" t="str">
        <f aca="false">IFERROR(VLOOKUP(J3,'10. Industry'!$A$4:$P$32,16,FALSE()),'3. Calc'!C104)</f>
        <v>sehr hoch</v>
      </c>
      <c r="M3" s="456" t="n">
        <f aca="false">VLOOKUP(L3,'9. Weighting'!$F$49:$H$53,3,FALSE())</f>
        <v>2</v>
      </c>
      <c r="N3" s="476" t="n">
        <f aca="false">M3*H3</f>
        <v>0.03388</v>
      </c>
      <c r="O3" s="456" t="str">
        <f aca="false">IFERROR(VLOOKUP(J3,'10. Industry'!$A$4:$N$32,5,FALSE()),'3. Calc'!C104)</f>
        <v>sehr hoch</v>
      </c>
      <c r="P3" s="456" t="n">
        <f aca="false">VLOOKUP(O3,'9. Weighting'!$F$49:$H$53,3,FALSE())</f>
        <v>2</v>
      </c>
      <c r="Q3" s="477" t="n">
        <f aca="false">P3*H3</f>
        <v>0.03388</v>
      </c>
    </row>
    <row r="4" customFormat="false" ht="9.75" hidden="false" customHeight="true" outlineLevel="0" collapsed="false">
      <c r="A4" s="459" t="s">
        <v>259</v>
      </c>
      <c r="B4" s="468"/>
      <c r="C4" s="469" t="n">
        <f aca="false">'9. Weighting'!I14</f>
        <v>654</v>
      </c>
      <c r="D4" s="470" t="str">
        <f aca="false">'9. Weighting'!H14</f>
        <v>AFG Afghanistan</v>
      </c>
      <c r="E4" s="471" t="n">
        <f aca="false">IFERROR(VLOOKUP(D4,$A$22:$G$400,3,FALSE()),$C$243)</f>
        <v>1.00304566871495</v>
      </c>
      <c r="F4" s="472" t="n">
        <f aca="false">IFERROR(C4*E4,"0")</f>
        <v>655.991867339578</v>
      </c>
      <c r="G4" s="473"/>
      <c r="H4" s="474" t="n">
        <f aca="false">IFERROR(F4/$G$3,"-")</f>
        <v>0.00327</v>
      </c>
      <c r="I4" s="456" t="n">
        <f aca="false">IFERROR(VLOOKUP(D4,$A$21:$I$134,6,FALSE()),2.99)</f>
        <v>2.99</v>
      </c>
      <c r="J4" s="475" t="str">
        <f aca="false">'9. Weighting'!E14</f>
        <v>Ca</v>
      </c>
      <c r="K4" s="456" t="n">
        <f aca="false">'9. Weighting'!G14</f>
        <v>0</v>
      </c>
      <c r="L4" s="456" t="str">
        <f aca="false">IFERROR(VLOOKUP(J4,'10. Industry'!$A$4:$P$32,16,FALSE()),'3. Calc'!C104)</f>
        <v>sehr hoch</v>
      </c>
      <c r="M4" s="456" t="n">
        <f aca="false">VLOOKUP(L4,'9. Weighting'!$F$49:$H$53,3,FALSE())</f>
        <v>2</v>
      </c>
      <c r="N4" s="476" t="n">
        <f aca="false">M4*H4</f>
        <v>0.00654</v>
      </c>
      <c r="O4" s="456" t="str">
        <f aca="false">IFERROR(VLOOKUP(J4,'10. Industry'!$A$4:$N$32,5,FALSE()),'3. Calc'!C104)</f>
        <v>sehr hoch</v>
      </c>
      <c r="P4" s="456" t="n">
        <f aca="false">VLOOKUP(O4,'9. Weighting'!$F$49:$H$53,3,FALSE())</f>
        <v>2</v>
      </c>
      <c r="Q4" s="477" t="n">
        <f aca="false">P4*H4</f>
        <v>0.00654</v>
      </c>
    </row>
    <row r="5" customFormat="false" ht="9.75" hidden="false" customHeight="true" outlineLevel="0" collapsed="false">
      <c r="A5" s="459" t="s">
        <v>260</v>
      </c>
      <c r="B5" s="468"/>
      <c r="C5" s="469" t="n">
        <f aca="false">'9. Weighting'!I15</f>
        <v>456</v>
      </c>
      <c r="D5" s="470" t="str">
        <f aca="false">'9. Weighting'!H15</f>
        <v>DZA Algerien</v>
      </c>
      <c r="E5" s="471" t="n">
        <f aca="false">IFERROR(VLOOKUP(D5,$A$22:$G$400,3,FALSE()),$C$243)</f>
        <v>1.00304566871495</v>
      </c>
      <c r="F5" s="472" t="n">
        <f aca="false">IFERROR(C5*E5,"0")</f>
        <v>457.388824934018</v>
      </c>
      <c r="G5" s="473"/>
      <c r="H5" s="474" t="n">
        <f aca="false">IFERROR(F5/$G$3,"-")</f>
        <v>0.00228</v>
      </c>
      <c r="I5" s="456" t="n">
        <f aca="false">IFERROR(VLOOKUP(D5,$A$21:$I$134,6,FALSE()),2.99)</f>
        <v>2.99</v>
      </c>
      <c r="J5" s="475" t="str">
        <f aca="false">'9. Weighting'!E15</f>
        <v>A </v>
      </c>
      <c r="K5" s="456" t="n">
        <f aca="false">'9. Weighting'!G15</f>
        <v>0</v>
      </c>
      <c r="L5" s="456" t="str">
        <f aca="false">IFERROR(VLOOKUP(J5,'10. Industry'!$A$4:$P$32,16,FALSE()),'3. Calc'!C104)</f>
        <v>sehr hoch</v>
      </c>
      <c r="M5" s="456" t="n">
        <f aca="false">VLOOKUP(L5,'9. Weighting'!$F$49:$H$53,3,FALSE())</f>
        <v>2</v>
      </c>
      <c r="N5" s="476" t="n">
        <f aca="false">M5*H5</f>
        <v>0.00456</v>
      </c>
      <c r="O5" s="456" t="str">
        <f aca="false">IFERROR(VLOOKUP(J5,'10. Industry'!$A$4:$N$32,5,FALSE()),'3. Calc'!C104)</f>
        <v>sehr hoch</v>
      </c>
      <c r="P5" s="456" t="n">
        <f aca="false">VLOOKUP(O5,'9. Weighting'!$F$49:$H$53,3,FALSE())</f>
        <v>2</v>
      </c>
      <c r="Q5" s="477" t="n">
        <f aca="false">P5*H5</f>
        <v>0.00456</v>
      </c>
    </row>
    <row r="6" customFormat="false" ht="9.75" hidden="false" customHeight="true" outlineLevel="0" collapsed="false">
      <c r="A6" s="459" t="s">
        <v>261</v>
      </c>
      <c r="B6" s="468"/>
      <c r="C6" s="469" t="n">
        <f aca="false">'9. Weighting'!I16</f>
        <v>77</v>
      </c>
      <c r="D6" s="470" t="str">
        <f aca="false">'9. Weighting'!H16</f>
        <v>BGD Bangladesch</v>
      </c>
      <c r="E6" s="471" t="n">
        <f aca="false">IFERROR(VLOOKUP(D6,$A$22:$G$400,3,FALSE()),$C$243)</f>
        <v>1.00304566871495</v>
      </c>
      <c r="F6" s="472" t="n">
        <f aca="false">IFERROR(C6*E6,"0")</f>
        <v>77.2345164910512</v>
      </c>
      <c r="G6" s="473"/>
      <c r="H6" s="474" t="n">
        <f aca="false">IFERROR(F6/$G$3,"-")</f>
        <v>0.000385</v>
      </c>
      <c r="I6" s="456" t="n">
        <f aca="false">IFERROR(VLOOKUP(D6,$A$21:$I$134,6,FALSE()),2.99)</f>
        <v>2.99</v>
      </c>
      <c r="J6" s="475" t="str">
        <f aca="false">'9. Weighting'!E16</f>
        <v>A </v>
      </c>
      <c r="K6" s="456" t="n">
        <f aca="false">'9. Weighting'!G16</f>
        <v>0</v>
      </c>
      <c r="L6" s="456" t="str">
        <f aca="false">IFERROR(VLOOKUP(J6,'10. Industry'!$A$4:$P$32,16,FALSE()),'3. Calc'!C104)</f>
        <v>sehr hoch</v>
      </c>
      <c r="M6" s="456" t="n">
        <f aca="false">VLOOKUP(L6,'9. Weighting'!$F$49:$H$53,3,FALSE())</f>
        <v>2</v>
      </c>
      <c r="N6" s="476" t="n">
        <f aca="false">M6*H6</f>
        <v>0.00077</v>
      </c>
      <c r="O6" s="456" t="str">
        <f aca="false">IFERROR(VLOOKUP(J6,'10. Industry'!$A$4:$N$32,5,FALSE()),'3. Calc'!C104)</f>
        <v>sehr hoch</v>
      </c>
      <c r="P6" s="456" t="n">
        <f aca="false">VLOOKUP(O6,'9. Weighting'!$F$49:$H$53,3,FALSE())</f>
        <v>2</v>
      </c>
      <c r="Q6" s="477" t="n">
        <f aca="false">P6*H6</f>
        <v>0.00077</v>
      </c>
    </row>
    <row r="7" customFormat="false" ht="12" hidden="false" customHeight="true" outlineLevel="0" collapsed="false">
      <c r="A7" s="459" t="s">
        <v>262</v>
      </c>
      <c r="B7" s="468"/>
      <c r="C7" s="469" t="n">
        <f aca="false">'9. Weighting'!I17</f>
        <v>0</v>
      </c>
      <c r="D7" s="470" t="n">
        <f aca="false">'9. Weighting'!H17</f>
        <v>0</v>
      </c>
      <c r="E7" s="471" t="n">
        <f aca="false">IFERROR(VLOOKUP(D7,$A$22:$G$400,3,FALSE()),$C$243)</f>
        <v>1.00304566871495</v>
      </c>
      <c r="F7" s="472" t="n">
        <f aca="false">IFERROR(C7*E7,"0")</f>
        <v>0</v>
      </c>
      <c r="G7" s="473"/>
      <c r="H7" s="474" t="n">
        <f aca="false">IFERROR(F7/$G$3,"-")</f>
        <v>0</v>
      </c>
      <c r="I7" s="456" t="n">
        <f aca="false">IFERROR(VLOOKUP(D7,$A$21:$I$134,6,FALSE()),2.99)</f>
        <v>2.99</v>
      </c>
      <c r="J7" s="475" t="str">
        <f aca="false">'9. Weighting'!E17</f>
        <v>Pl</v>
      </c>
      <c r="K7" s="456" t="n">
        <f aca="false">'9. Weighting'!G17</f>
        <v>0</v>
      </c>
      <c r="L7" s="456" t="n">
        <f aca="false">IFERROR(VLOOKUP(J7,'10. Industry'!$A$4:$P$32,16,FALSE()),'3. Calc'!C104)</f>
        <v>1</v>
      </c>
      <c r="M7" s="456" t="e">
        <f aca="false">VLOOKUP(L7,'9. Weighting'!$F$49:$H$53,3,FALSE())</f>
        <v>#N/A</v>
      </c>
      <c r="N7" s="476" t="e">
        <f aca="false">M7*H7</f>
        <v>#N/A</v>
      </c>
      <c r="O7" s="456" t="n">
        <f aca="false">IFERROR(VLOOKUP(J7,'10. Industry'!$A$4:$N$32,5,FALSE()),'3. Calc'!C104)</f>
        <v>1</v>
      </c>
      <c r="P7" s="456" t="e">
        <f aca="false">VLOOKUP(O7,'9. Weighting'!$F$49:$H$53,3,FALSE())</f>
        <v>#N/A</v>
      </c>
      <c r="Q7" s="477" t="e">
        <f aca="false">P7*H7</f>
        <v>#N/A</v>
      </c>
    </row>
    <row r="8" customFormat="false" ht="16.5" hidden="false" customHeight="true" outlineLevel="0" collapsed="false">
      <c r="A8" s="478" t="s">
        <v>263</v>
      </c>
      <c r="B8" s="468"/>
      <c r="C8" s="479" t="n">
        <f aca="false">'9. Weighting'!I18</f>
        <v>195425</v>
      </c>
      <c r="D8" s="480" t="str">
        <f aca="false">'9. Weighting'!H18</f>
        <v>QAT Katar</v>
      </c>
      <c r="E8" s="471" t="n">
        <f aca="false">IFERROR(VLOOKUP(D8,$A$22:$G$400,3,FALSE()),$C$243)</f>
        <v>1.00304566871495</v>
      </c>
      <c r="F8" s="473" t="n">
        <f aca="false">IFERROR(C8*E8,"0")</f>
        <v>196020.199808619</v>
      </c>
      <c r="G8" s="473"/>
      <c r="H8" s="474" t="n">
        <f aca="false">IFERROR(F8/$G$3,"-")</f>
        <v>0.977125</v>
      </c>
      <c r="I8" s="456" t="n">
        <f aca="false">IFERROR(VLOOKUP(D8,$A$21:$I$134,6,FALSE()),2.99)</f>
        <v>2.99</v>
      </c>
      <c r="J8" s="481" t="s">
        <v>264</v>
      </c>
      <c r="K8" s="481"/>
      <c r="L8" s="481"/>
      <c r="M8" s="481"/>
      <c r="N8" s="482" t="n">
        <f aca="false">IFERROR((SUM(N3:N7)*1)/SUM(H3:H7),1)</f>
        <v>1</v>
      </c>
      <c r="O8" s="483"/>
      <c r="P8" s="483"/>
      <c r="Q8" s="482" t="n">
        <f aca="false">IFERROR((SUM(Q3:Q7)*1)/SUM(H3:H7),1)</f>
        <v>1</v>
      </c>
    </row>
    <row r="9" customFormat="false" ht="10.5" hidden="false" customHeight="true" outlineLevel="0" collapsed="false">
      <c r="A9" s="484"/>
      <c r="B9" s="485"/>
      <c r="C9" s="485"/>
      <c r="D9" s="485"/>
      <c r="E9" s="486"/>
      <c r="F9" s="485"/>
      <c r="G9" s="485"/>
      <c r="H9" s="474"/>
      <c r="I9" s="487" t="n">
        <f aca="false">IFERROR(I3*H3+I4*H4+I5*H5+I6*H6+I7*H7+I8*H8,I21)</f>
        <v>2.99</v>
      </c>
    </row>
    <row r="10" customFormat="false" ht="10.5" hidden="false" customHeight="true" outlineLevel="0" collapsed="false">
      <c r="A10" s="488" t="s">
        <v>265</v>
      </c>
      <c r="B10" s="489" t="n">
        <f aca="false">'9. Weighting'!I25</f>
        <v>5501</v>
      </c>
      <c r="C10" s="490" t="n">
        <f aca="false">'2. Company Facts'!D30</f>
        <v>0.46</v>
      </c>
      <c r="D10" s="491" t="str">
        <f aca="false">'2. Company Facts'!B30</f>
        <v>ETH Äthiopien</v>
      </c>
      <c r="E10" s="471" t="n">
        <f aca="false">IFERROR(VLOOKUP(D10,$A$22:$G$400,3,FALSE()),$C$243)</f>
        <v>1.00304566871495</v>
      </c>
      <c r="F10" s="492" t="n">
        <f aca="false">C10*E10*B10</f>
        <v>2538.16694285643</v>
      </c>
      <c r="G10" s="492" t="n">
        <f aca="false">F10+F11+F12+F13</f>
        <v>5517.75422360095</v>
      </c>
      <c r="H10" s="493" t="n">
        <f aca="false">SUM(H3:H8)</f>
        <v>1</v>
      </c>
      <c r="I10" s="456" t="n">
        <f aca="false">IFERROR(VLOOKUP(D10,$A$21:$I$134,6,FALSE()),I28)</f>
        <v>0</v>
      </c>
    </row>
    <row r="11" customFormat="false" ht="9.75" hidden="false" customHeight="true" outlineLevel="0" collapsed="false">
      <c r="A11" s="494"/>
      <c r="B11" s="495"/>
      <c r="C11" s="490" t="n">
        <f aca="false">'2. Company Facts'!D31</f>
        <v>0.11</v>
      </c>
      <c r="D11" s="491" t="str">
        <f aca="false">'2. Company Facts'!B31</f>
        <v>BHR Bahrain</v>
      </c>
      <c r="E11" s="471" t="n">
        <f aca="false">IFERROR(VLOOKUP(D11,$A$22:$G$400,3,FALSE()),$C$243)</f>
        <v>1.00304566871495</v>
      </c>
      <c r="F11" s="492" t="n">
        <f aca="false">C11*E11*B10</f>
        <v>606.952964596104</v>
      </c>
      <c r="G11" s="485"/>
      <c r="H11" s="493"/>
      <c r="I11" s="456" t="n">
        <f aca="false">IFERROR(VLOOKUP(D11,$A$21:$I$134,6,FALSE()),I29)</f>
        <v>0</v>
      </c>
    </row>
    <row r="12" customFormat="false" ht="9.75" hidden="false" customHeight="true" outlineLevel="0" collapsed="false">
      <c r="A12" s="494"/>
      <c r="B12" s="495"/>
      <c r="C12" s="490" t="n">
        <f aca="false">'2. Company Facts'!D32</f>
        <v>0</v>
      </c>
      <c r="D12" s="491" t="n">
        <f aca="false">'2. Company Facts'!B32</f>
        <v>0</v>
      </c>
      <c r="E12" s="471" t="n">
        <f aca="false">IFERROR(VLOOKUP(D12,$A$22:$G$400,3,FALSE()),$C$243)</f>
        <v>1.00304566871495</v>
      </c>
      <c r="F12" s="492" t="n">
        <f aca="false">C12*E12*B10</f>
        <v>0</v>
      </c>
      <c r="G12" s="485"/>
      <c r="H12" s="493"/>
      <c r="I12" s="456" t="n">
        <f aca="false">IFERROR(VLOOKUP(D12,$A$21:$I$134,6,FALSE()),I30)</f>
        <v>0</v>
      </c>
    </row>
    <row r="13" customFormat="false" ht="9.75" hidden="false" customHeight="true" outlineLevel="0" collapsed="false">
      <c r="A13" s="494"/>
      <c r="B13" s="495"/>
      <c r="C13" s="496" t="n">
        <f aca="false">1-C10-C11-C12</f>
        <v>0.43</v>
      </c>
      <c r="D13" s="495" t="str">
        <f aca="false">A21</f>
        <v>Country Code</v>
      </c>
      <c r="E13" s="471" t="n">
        <f aca="false">IFERROR(VLOOKUP(D13,$A$22:$G$400,3,FALSE()),$C$243)</f>
        <v>1.00304566871495</v>
      </c>
      <c r="F13" s="492" t="n">
        <f aca="false">C13*E13*B10</f>
        <v>2372.63431614841</v>
      </c>
      <c r="G13" s="485"/>
      <c r="H13" s="493"/>
      <c r="I13" s="456" t="n">
        <f aca="false">IFERROR(VLOOKUP(D13,$A$21:$I$134,9,FALSE()),"0")</f>
        <v>0</v>
      </c>
    </row>
    <row r="14" customFormat="false" ht="9.75" hidden="false" customHeight="true" outlineLevel="0" collapsed="false">
      <c r="A14" s="456" t="s">
        <v>266</v>
      </c>
      <c r="I14" s="497" t="n">
        <f aca="false">I10*C10+I11*C11+I12*C12+I13*C13</f>
        <v>0</v>
      </c>
    </row>
    <row r="17" customFormat="false" ht="25.5" hidden="false" customHeight="true" outlineLevel="0" collapsed="false">
      <c r="A17" s="498" t="s">
        <v>267</v>
      </c>
      <c r="B17" s="498"/>
      <c r="C17" s="498"/>
      <c r="D17" s="498"/>
      <c r="E17" s="498"/>
      <c r="F17" s="498"/>
      <c r="G17" s="498"/>
      <c r="H17" s="498"/>
    </row>
    <row r="18" customFormat="false" ht="9.75" hidden="false" customHeight="true" outlineLevel="0" collapsed="false">
      <c r="A18" s="499" t="s">
        <v>268</v>
      </c>
      <c r="B18" s="499" t="s">
        <v>269</v>
      </c>
      <c r="C18" s="499"/>
      <c r="D18" s="499"/>
      <c r="E18" s="499"/>
      <c r="F18" s="499"/>
      <c r="G18" s="499"/>
      <c r="H18" s="500"/>
    </row>
    <row r="19" customFormat="false" ht="9.75" hidden="false" customHeight="true" outlineLevel="0" collapsed="false">
      <c r="A19" s="499" t="s">
        <v>270</v>
      </c>
      <c r="B19" s="501" t="s">
        <v>271</v>
      </c>
      <c r="C19" s="501"/>
      <c r="D19" s="499"/>
      <c r="E19" s="502" t="s">
        <v>272</v>
      </c>
      <c r="F19" s="503"/>
      <c r="G19" s="499"/>
      <c r="H19" s="500" t="s">
        <v>15</v>
      </c>
    </row>
    <row r="20" customFormat="false" ht="9.75" hidden="false" customHeight="true" outlineLevel="0" collapsed="false">
      <c r="A20" s="499"/>
      <c r="B20" s="499"/>
      <c r="C20" s="499"/>
      <c r="D20" s="499"/>
      <c r="E20" s="499"/>
      <c r="F20" s="499"/>
      <c r="G20" s="499"/>
      <c r="H20" s="500"/>
    </row>
    <row r="21" customFormat="false" ht="9.75" hidden="false" customHeight="true" outlineLevel="0" collapsed="false">
      <c r="A21" s="504" t="s">
        <v>273</v>
      </c>
      <c r="B21" s="504" t="s">
        <v>274</v>
      </c>
      <c r="C21" s="505" t="s">
        <v>275</v>
      </c>
      <c r="D21" s="505"/>
      <c r="E21" s="504" t="s">
        <v>138</v>
      </c>
      <c r="F21" s="505" t="s">
        <v>276</v>
      </c>
      <c r="G21" s="506"/>
      <c r="H21" s="507"/>
      <c r="I21" s="508"/>
      <c r="J21" s="508" t="s">
        <v>277</v>
      </c>
    </row>
    <row r="22" customFormat="false" ht="9.75" hidden="false" customHeight="true" outlineLevel="0" collapsed="false">
      <c r="A22" s="506" t="str">
        <f aca="false">'12.lan'!D339</f>
        <v>ABW Aruba </v>
      </c>
      <c r="B22" s="506" t="s">
        <v>278</v>
      </c>
      <c r="C22" s="509" t="n">
        <v>1.53937701809995</v>
      </c>
      <c r="D22" s="506" t="n">
        <v>2017</v>
      </c>
      <c r="E22" s="506" t="s">
        <v>279</v>
      </c>
      <c r="F22" s="509" t="n">
        <v>3.52</v>
      </c>
      <c r="G22" s="509" t="s">
        <v>280</v>
      </c>
      <c r="H22" s="457"/>
      <c r="I22" s="508"/>
      <c r="J22" s="506" t="s">
        <v>281</v>
      </c>
    </row>
    <row r="23" customFormat="false" ht="9.75" hidden="false" customHeight="true" outlineLevel="0" collapsed="false">
      <c r="A23" s="506" t="str">
        <f aca="false">'12.lan'!D340</f>
        <v>AFG Afghanistan </v>
      </c>
      <c r="B23" s="506" t="s">
        <v>282</v>
      </c>
      <c r="C23" s="509" t="n">
        <v>3.46739486547185</v>
      </c>
      <c r="D23" s="506" t="s">
        <v>177</v>
      </c>
      <c r="E23" s="506" t="s">
        <v>283</v>
      </c>
      <c r="F23" s="509" t="n">
        <v>5</v>
      </c>
      <c r="G23" s="509" t="s">
        <v>280</v>
      </c>
      <c r="H23" s="457"/>
      <c r="I23" s="508"/>
      <c r="J23" s="506" t="s">
        <v>284</v>
      </c>
    </row>
    <row r="24" customFormat="false" ht="9.75" hidden="false" customHeight="true" outlineLevel="0" collapsed="false">
      <c r="A24" s="506" t="str">
        <f aca="false">'12.lan'!D341</f>
        <v>AGO Angola </v>
      </c>
      <c r="B24" s="506" t="s">
        <v>285</v>
      </c>
      <c r="C24" s="509" t="n">
        <v>1.9978683824206</v>
      </c>
      <c r="D24" s="506" t="s">
        <v>177</v>
      </c>
      <c r="E24" s="506" t="s">
        <v>286</v>
      </c>
      <c r="F24" s="509" t="n">
        <v>4</v>
      </c>
      <c r="G24" s="509"/>
      <c r="H24" s="507"/>
      <c r="I24" s="508"/>
      <c r="J24" s="506" t="s">
        <v>287</v>
      </c>
    </row>
    <row r="25" customFormat="false" ht="9.75" hidden="false" customHeight="true" outlineLevel="0" collapsed="false">
      <c r="A25" s="506" t="str">
        <f aca="false">'12.lan'!D342</f>
        <v>ALB Albania </v>
      </c>
      <c r="B25" s="506" t="s">
        <v>288</v>
      </c>
      <c r="C25" s="509" t="n">
        <v>2.63104942515307</v>
      </c>
      <c r="D25" s="506" t="s">
        <v>177</v>
      </c>
      <c r="E25" s="506" t="s">
        <v>289</v>
      </c>
      <c r="F25" s="509" t="n">
        <v>3</v>
      </c>
      <c r="G25" s="509"/>
      <c r="H25" s="457"/>
      <c r="I25" s="508"/>
      <c r="J25" s="506" t="s">
        <v>290</v>
      </c>
    </row>
    <row r="26" customFormat="false" ht="9.75" hidden="false" customHeight="true" outlineLevel="0" collapsed="false">
      <c r="A26" s="506" t="str">
        <f aca="false">'12.lan'!D343</f>
        <v>AND Andorra </v>
      </c>
      <c r="B26" s="506" t="s">
        <v>291</v>
      </c>
      <c r="C26" s="509" t="n">
        <v>1.03314026740667</v>
      </c>
      <c r="D26" s="506" t="s">
        <v>280</v>
      </c>
      <c r="E26" s="506" t="s">
        <v>289</v>
      </c>
      <c r="F26" s="509" t="n">
        <v>2.55</v>
      </c>
      <c r="G26" s="509" t="s">
        <v>280</v>
      </c>
      <c r="H26" s="507"/>
      <c r="I26" s="508"/>
      <c r="J26" s="506" t="s">
        <v>292</v>
      </c>
    </row>
    <row r="27" customFormat="false" ht="9.75" hidden="false" customHeight="true" outlineLevel="0" collapsed="false">
      <c r="A27" s="506" t="str">
        <f aca="false">'12.lan'!D344</f>
        <v>ARE United Arab Emirates </v>
      </c>
      <c r="B27" s="506" t="s">
        <v>293</v>
      </c>
      <c r="C27" s="509" t="n">
        <v>1.84087197184959</v>
      </c>
      <c r="D27" s="506" t="s">
        <v>177</v>
      </c>
      <c r="E27" s="506" t="s">
        <v>283</v>
      </c>
      <c r="F27" s="509" t="n">
        <v>5</v>
      </c>
      <c r="G27" s="509"/>
      <c r="H27" s="507"/>
      <c r="I27" s="508"/>
      <c r="J27" s="506" t="s">
        <v>294</v>
      </c>
    </row>
    <row r="28" customFormat="false" ht="9.75" hidden="false" customHeight="true" outlineLevel="0" collapsed="false">
      <c r="A28" s="506" t="str">
        <f aca="false">'12.lan'!D345</f>
        <v>ARG Argentina </v>
      </c>
      <c r="B28" s="506" t="s">
        <v>295</v>
      </c>
      <c r="C28" s="509" t="n">
        <v>2.05212834166951</v>
      </c>
      <c r="D28" s="506" t="s">
        <v>177</v>
      </c>
      <c r="E28" s="506" t="s">
        <v>279</v>
      </c>
      <c r="F28" s="509" t="n">
        <v>4</v>
      </c>
      <c r="G28" s="509"/>
      <c r="H28" s="457"/>
      <c r="J28" s="506" t="s">
        <v>296</v>
      </c>
    </row>
    <row r="29" customFormat="false" ht="9.75" hidden="false" customHeight="true" outlineLevel="0" collapsed="false">
      <c r="A29" s="506" t="str">
        <f aca="false">'12.lan'!D346</f>
        <v>ARM Armenia </v>
      </c>
      <c r="B29" s="506" t="s">
        <v>297</v>
      </c>
      <c r="C29" s="509" t="n">
        <v>2.34714423235579</v>
      </c>
      <c r="D29" s="506" t="s">
        <v>177</v>
      </c>
      <c r="E29" s="506" t="s">
        <v>283</v>
      </c>
      <c r="F29" s="509" t="n">
        <v>4.47</v>
      </c>
      <c r="G29" s="509" t="s">
        <v>280</v>
      </c>
      <c r="H29" s="457"/>
      <c r="J29" s="506" t="s">
        <v>298</v>
      </c>
    </row>
    <row r="30" customFormat="false" ht="9.75" hidden="false" customHeight="true" outlineLevel="0" collapsed="false">
      <c r="A30" s="506" t="str">
        <f aca="false">'12.lan'!D347</f>
        <v>ASM American Samoa </v>
      </c>
      <c r="B30" s="506" t="s">
        <v>299</v>
      </c>
      <c r="C30" s="509" t="n">
        <v>1.49858687129258</v>
      </c>
      <c r="D30" s="506" t="s">
        <v>280</v>
      </c>
      <c r="E30" s="506" t="s">
        <v>300</v>
      </c>
      <c r="F30" s="509" t="n">
        <v>4.05</v>
      </c>
      <c r="G30" s="509"/>
      <c r="H30" s="457"/>
      <c r="J30" s="506" t="s">
        <v>301</v>
      </c>
    </row>
    <row r="31" customFormat="false" ht="9.75" hidden="false" customHeight="true" outlineLevel="0" collapsed="false">
      <c r="A31" s="506" t="str">
        <f aca="false">'12.lan'!D348</f>
        <v>ATG Antigua and Barbuda </v>
      </c>
      <c r="B31" s="506" t="s">
        <v>302</v>
      </c>
      <c r="C31" s="509" t="n">
        <v>1.77524540295726</v>
      </c>
      <c r="D31" s="506" t="s">
        <v>177</v>
      </c>
      <c r="E31" s="506" t="s">
        <v>279</v>
      </c>
      <c r="F31" s="509" t="n">
        <v>3.52</v>
      </c>
      <c r="G31" s="509" t="s">
        <v>280</v>
      </c>
      <c r="H31" s="457"/>
      <c r="J31" s="506" t="s">
        <v>303</v>
      </c>
    </row>
    <row r="32" customFormat="false" ht="9.75" hidden="false" customHeight="true" outlineLevel="0" collapsed="false">
      <c r="A32" s="506" t="str">
        <f aca="false">'12.lan'!D349</f>
        <v>AUS Australia </v>
      </c>
      <c r="B32" s="506" t="s">
        <v>304</v>
      </c>
      <c r="C32" s="509" t="n">
        <v>0.908889332149716</v>
      </c>
      <c r="D32" s="506" t="s">
        <v>177</v>
      </c>
      <c r="E32" s="506" t="s">
        <v>300</v>
      </c>
      <c r="F32" s="509" t="n">
        <v>3</v>
      </c>
      <c r="G32" s="509" t="s">
        <v>280</v>
      </c>
      <c r="H32" s="457"/>
      <c r="J32" s="506" t="s">
        <v>305</v>
      </c>
    </row>
    <row r="33" customFormat="false" ht="9.75" hidden="false" customHeight="true" outlineLevel="0" collapsed="false">
      <c r="A33" s="506" t="str">
        <f aca="false">'12.lan'!D350</f>
        <v>AUT Austria </v>
      </c>
      <c r="B33" s="506" t="s">
        <v>306</v>
      </c>
      <c r="C33" s="509" t="n">
        <v>1.10865320237076</v>
      </c>
      <c r="D33" s="506" t="s">
        <v>177</v>
      </c>
      <c r="E33" s="506" t="s">
        <v>289</v>
      </c>
      <c r="F33" s="509" t="n">
        <v>1</v>
      </c>
      <c r="G33" s="509"/>
      <c r="H33" s="457"/>
      <c r="J33" s="506" t="s">
        <v>307</v>
      </c>
    </row>
    <row r="34" customFormat="false" ht="9.75" hidden="false" customHeight="true" outlineLevel="0" collapsed="false">
      <c r="A34" s="506" t="str">
        <f aca="false">'12.lan'!D351</f>
        <v>AZE Azerbaijan </v>
      </c>
      <c r="B34" s="506" t="s">
        <v>308</v>
      </c>
      <c r="C34" s="509" t="n">
        <v>3.12777960445176</v>
      </c>
      <c r="D34" s="506" t="s">
        <v>177</v>
      </c>
      <c r="E34" s="506" t="s">
        <v>283</v>
      </c>
      <c r="F34" s="509" t="n">
        <v>4.47</v>
      </c>
      <c r="G34" s="509" t="s">
        <v>280</v>
      </c>
      <c r="H34" s="457"/>
      <c r="J34" s="506" t="s">
        <v>309</v>
      </c>
    </row>
    <row r="35" customFormat="false" ht="9.75" hidden="false" customHeight="true" outlineLevel="0" collapsed="false">
      <c r="A35" s="506" t="str">
        <f aca="false">'12.lan'!D352</f>
        <v>BDI Burundi </v>
      </c>
      <c r="B35" s="506" t="s">
        <v>310</v>
      </c>
      <c r="C35" s="509" t="n">
        <v>3.53020471512507</v>
      </c>
      <c r="D35" s="506" t="s">
        <v>177</v>
      </c>
      <c r="E35" s="506" t="s">
        <v>286</v>
      </c>
      <c r="F35" s="509" t="n">
        <v>6</v>
      </c>
      <c r="G35" s="509" t="s">
        <v>280</v>
      </c>
      <c r="H35" s="457"/>
      <c r="J35" s="506" t="s">
        <v>311</v>
      </c>
    </row>
    <row r="36" customFormat="false" ht="9.75" hidden="false" customHeight="true" outlineLevel="0" collapsed="false">
      <c r="A36" s="506" t="str">
        <f aca="false">'12.lan'!D353</f>
        <v>BEL Belgium </v>
      </c>
      <c r="B36" s="506" t="s">
        <v>312</v>
      </c>
      <c r="C36" s="509" t="n">
        <v>1.08992643901192</v>
      </c>
      <c r="D36" s="506" t="s">
        <v>177</v>
      </c>
      <c r="E36" s="506" t="s">
        <v>289</v>
      </c>
      <c r="F36" s="509" t="n">
        <v>2</v>
      </c>
      <c r="G36" s="509"/>
      <c r="H36" s="457"/>
      <c r="J36" s="506" t="s">
        <v>313</v>
      </c>
    </row>
    <row r="37" customFormat="false" ht="9.75" hidden="false" customHeight="true" outlineLevel="0" collapsed="false">
      <c r="A37" s="506" t="str">
        <f aca="false">'12.lan'!D354</f>
        <v>BEN Benin </v>
      </c>
      <c r="B37" s="506" t="s">
        <v>314</v>
      </c>
      <c r="C37" s="509" t="n">
        <v>2.70258485622299</v>
      </c>
      <c r="D37" s="506" t="s">
        <v>177</v>
      </c>
      <c r="E37" s="506" t="s">
        <v>286</v>
      </c>
      <c r="F37" s="509" t="n">
        <v>4</v>
      </c>
      <c r="G37" s="509" t="s">
        <v>280</v>
      </c>
      <c r="H37" s="457"/>
      <c r="J37" s="506" t="s">
        <v>315</v>
      </c>
    </row>
    <row r="38" customFormat="false" ht="9.75" hidden="false" customHeight="true" outlineLevel="0" collapsed="false">
      <c r="A38" s="506" t="str">
        <f aca="false">'12.lan'!D355</f>
        <v>BFA Burkina Faso </v>
      </c>
      <c r="B38" s="506" t="s">
        <v>316</v>
      </c>
      <c r="C38" s="509" t="n">
        <v>2.78761756610312</v>
      </c>
      <c r="D38" s="506" t="s">
        <v>177</v>
      </c>
      <c r="E38" s="506" t="s">
        <v>286</v>
      </c>
      <c r="F38" s="509" t="n">
        <v>3</v>
      </c>
      <c r="G38" s="509" t="s">
        <v>280</v>
      </c>
      <c r="H38" s="457"/>
      <c r="J38" s="506" t="s">
        <v>317</v>
      </c>
    </row>
    <row r="39" customFormat="false" ht="9.75" hidden="false" customHeight="true" outlineLevel="0" collapsed="false">
      <c r="A39" s="506" t="str">
        <f aca="false">'12.lan'!D356</f>
        <v>BGD Bangladesh </v>
      </c>
      <c r="B39" s="506" t="s">
        <v>318</v>
      </c>
      <c r="C39" s="509" t="n">
        <v>3.63339086529371</v>
      </c>
      <c r="D39" s="506" t="s">
        <v>177</v>
      </c>
      <c r="E39" s="506" t="s">
        <v>283</v>
      </c>
      <c r="F39" s="509" t="n">
        <v>5</v>
      </c>
      <c r="G39" s="509"/>
      <c r="H39" s="457"/>
      <c r="J39" s="506" t="s">
        <v>319</v>
      </c>
    </row>
    <row r="40" customFormat="false" ht="9.75" hidden="false" customHeight="true" outlineLevel="0" collapsed="false">
      <c r="A40" s="506" t="str">
        <f aca="false">'12.lan'!D357</f>
        <v>BGR Bulgaria </v>
      </c>
      <c r="B40" s="506" t="s">
        <v>320</v>
      </c>
      <c r="C40" s="509" t="n">
        <v>2.53844980855237</v>
      </c>
      <c r="D40" s="506" t="s">
        <v>177</v>
      </c>
      <c r="E40" s="506" t="s">
        <v>289</v>
      </c>
      <c r="F40" s="509" t="n">
        <v>3</v>
      </c>
      <c r="G40" s="509"/>
      <c r="H40" s="457"/>
      <c r="J40" s="506" t="s">
        <v>321</v>
      </c>
    </row>
    <row r="41" customFormat="false" ht="9.75" hidden="false" customHeight="true" outlineLevel="0" collapsed="false">
      <c r="A41" s="506" t="str">
        <f aca="false">'12.lan'!D358</f>
        <v>BHR Bahrain </v>
      </c>
      <c r="B41" s="506" t="s">
        <v>322</v>
      </c>
      <c r="C41" s="509" t="n">
        <v>2.20646254670723</v>
      </c>
      <c r="D41" s="506" t="s">
        <v>177</v>
      </c>
      <c r="E41" s="506" t="s">
        <v>283</v>
      </c>
      <c r="F41" s="509" t="n">
        <v>5</v>
      </c>
      <c r="G41" s="509"/>
      <c r="H41" s="457"/>
      <c r="J41" s="506" t="s">
        <v>323</v>
      </c>
    </row>
    <row r="42" customFormat="false" ht="9.75" hidden="false" customHeight="true" outlineLevel="0" collapsed="false">
      <c r="A42" s="506" t="str">
        <f aca="false">'12.lan'!D359</f>
        <v>BHS Bahamas </v>
      </c>
      <c r="B42" s="506" t="s">
        <v>324</v>
      </c>
      <c r="C42" s="509" t="n">
        <v>1.17704694248602</v>
      </c>
      <c r="D42" s="506" t="s">
        <v>177</v>
      </c>
      <c r="E42" s="506" t="s">
        <v>279</v>
      </c>
      <c r="F42" s="509" t="n">
        <v>3</v>
      </c>
      <c r="G42" s="509" t="s">
        <v>280</v>
      </c>
      <c r="H42" s="457"/>
      <c r="J42" s="506" t="s">
        <v>325</v>
      </c>
    </row>
    <row r="43" customFormat="false" ht="9.75" hidden="false" customHeight="true" outlineLevel="0" collapsed="false">
      <c r="A43" s="506" t="str">
        <f aca="false">'12.lan'!D360</f>
        <v>BIH Bosnia and Herzegovina </v>
      </c>
      <c r="B43" s="506" t="s">
        <v>326</v>
      </c>
      <c r="C43" s="509" t="n">
        <v>2.42425019990565</v>
      </c>
      <c r="D43" s="506" t="s">
        <v>177</v>
      </c>
      <c r="E43" s="506" t="s">
        <v>289</v>
      </c>
      <c r="F43" s="509" t="n">
        <v>4</v>
      </c>
      <c r="G43" s="509"/>
      <c r="H43" s="457"/>
      <c r="J43" s="506" t="s">
        <v>327</v>
      </c>
    </row>
    <row r="44" customFormat="false" ht="9.75" hidden="false" customHeight="true" outlineLevel="0" collapsed="false">
      <c r="A44" s="506" t="str">
        <f aca="false">'12.lan'!D361</f>
        <v>BLR Belarus </v>
      </c>
      <c r="B44" s="506" t="s">
        <v>328</v>
      </c>
      <c r="C44" s="509" t="n">
        <v>2.96460938882835</v>
      </c>
      <c r="D44" s="506" t="s">
        <v>177</v>
      </c>
      <c r="E44" s="506" t="s">
        <v>289</v>
      </c>
      <c r="F44" s="509" t="n">
        <v>5</v>
      </c>
      <c r="G44" s="509"/>
      <c r="H44" s="457"/>
      <c r="J44" s="506" t="s">
        <v>329</v>
      </c>
    </row>
    <row r="45" customFormat="false" ht="9.75" hidden="false" customHeight="true" outlineLevel="0" collapsed="false">
      <c r="A45" s="506" t="str">
        <f aca="false">'12.lan'!D362</f>
        <v>BLZ Belize </v>
      </c>
      <c r="B45" s="506" t="s">
        <v>330</v>
      </c>
      <c r="C45" s="509" t="n">
        <v>2.0353237754933</v>
      </c>
      <c r="D45" s="506" t="s">
        <v>177</v>
      </c>
      <c r="E45" s="506" t="s">
        <v>279</v>
      </c>
      <c r="F45" s="509" t="n">
        <v>3</v>
      </c>
      <c r="G45" s="509" t="s">
        <v>280</v>
      </c>
      <c r="H45" s="457"/>
      <c r="J45" s="506" t="s">
        <v>331</v>
      </c>
    </row>
    <row r="46" customFormat="false" ht="9.75" hidden="false" customHeight="true" outlineLevel="0" collapsed="false">
      <c r="A46" s="506" t="str">
        <f aca="false">'12.lan'!D363</f>
        <v>BMU Bermuda </v>
      </c>
      <c r="B46" s="506" t="s">
        <v>332</v>
      </c>
      <c r="C46" s="509" t="n">
        <v>1.00304566871495</v>
      </c>
      <c r="D46" s="506" t="s">
        <v>280</v>
      </c>
      <c r="E46" s="506" t="s">
        <v>279</v>
      </c>
      <c r="F46" s="509" t="n">
        <v>3.52</v>
      </c>
      <c r="G46" s="509" t="s">
        <v>280</v>
      </c>
      <c r="H46" s="457"/>
      <c r="J46" s="506" t="s">
        <v>333</v>
      </c>
    </row>
    <row r="47" customFormat="false" ht="9.75" hidden="false" customHeight="true" outlineLevel="0" collapsed="false">
      <c r="A47" s="506" t="str">
        <f aca="false">'12.lan'!D364</f>
        <v>BOL Bolivia, Plurinational State of </v>
      </c>
      <c r="B47" s="506" t="s">
        <v>334</v>
      </c>
      <c r="C47" s="509" t="n">
        <v>3.07604275552633</v>
      </c>
      <c r="D47" s="506" t="s">
        <v>177</v>
      </c>
      <c r="E47" s="506" t="s">
        <v>279</v>
      </c>
      <c r="F47" s="509" t="n">
        <v>3</v>
      </c>
      <c r="G47" s="509"/>
      <c r="H47" s="457"/>
      <c r="J47" s="506" t="s">
        <v>335</v>
      </c>
    </row>
    <row r="48" customFormat="false" ht="9.75" hidden="false" customHeight="true" outlineLevel="0" collapsed="false">
      <c r="A48" s="506" t="str">
        <f aca="false">'12.lan'!D365</f>
        <v>BRA Brazil </v>
      </c>
      <c r="B48" s="506" t="s">
        <v>336</v>
      </c>
      <c r="C48" s="509" t="n">
        <v>1.45982666767782</v>
      </c>
      <c r="D48" s="506" t="s">
        <v>177</v>
      </c>
      <c r="E48" s="506" t="s">
        <v>279</v>
      </c>
      <c r="F48" s="509" t="n">
        <v>5</v>
      </c>
      <c r="G48" s="509"/>
      <c r="H48" s="457"/>
      <c r="J48" s="506" t="s">
        <v>337</v>
      </c>
    </row>
    <row r="49" customFormat="false" ht="9.75" hidden="false" customHeight="true" outlineLevel="0" collapsed="false">
      <c r="A49" s="506" t="str">
        <f aca="false">'12.lan'!D366</f>
        <v>BRB Barbados </v>
      </c>
      <c r="B49" s="506" t="s">
        <v>338</v>
      </c>
      <c r="C49" s="509" t="n">
        <v>1.15832698490788</v>
      </c>
      <c r="D49" s="506" t="s">
        <v>177</v>
      </c>
      <c r="E49" s="506" t="s">
        <v>279</v>
      </c>
      <c r="F49" s="509" t="n">
        <v>2</v>
      </c>
      <c r="G49" s="509" t="s">
        <v>280</v>
      </c>
      <c r="H49" s="457"/>
      <c r="J49" s="506" t="s">
        <v>339</v>
      </c>
    </row>
    <row r="50" customFormat="false" ht="9.75" hidden="false" customHeight="true" outlineLevel="0" collapsed="false">
      <c r="A50" s="506" t="str">
        <f aca="false">'12.lan'!D367</f>
        <v>BRN Brunei Darussalam </v>
      </c>
      <c r="B50" s="506" t="s">
        <v>340</v>
      </c>
      <c r="C50" s="509" t="n">
        <v>2.57404930341752</v>
      </c>
      <c r="D50" s="506" t="s">
        <v>177</v>
      </c>
      <c r="E50" s="506" t="s">
        <v>283</v>
      </c>
      <c r="F50" s="509" t="n">
        <v>4.47</v>
      </c>
      <c r="G50" s="509" t="s">
        <v>280</v>
      </c>
      <c r="H50" s="457"/>
      <c r="J50" s="506" t="s">
        <v>341</v>
      </c>
    </row>
    <row r="51" customFormat="false" ht="9.75" hidden="false" customHeight="true" outlineLevel="0" collapsed="false">
      <c r="A51" s="506" t="str">
        <f aca="false">'12.lan'!D368</f>
        <v>BTN Bhutan </v>
      </c>
      <c r="B51" s="506" t="s">
        <v>342</v>
      </c>
      <c r="C51" s="509" t="n">
        <v>3.25061736452824</v>
      </c>
      <c r="D51" s="506" t="s">
        <v>177</v>
      </c>
      <c r="E51" s="506" t="s">
        <v>283</v>
      </c>
      <c r="F51" s="509" t="n">
        <v>4.47</v>
      </c>
      <c r="G51" s="509" t="s">
        <v>280</v>
      </c>
      <c r="H51" s="457"/>
      <c r="J51" s="506" t="s">
        <v>343</v>
      </c>
    </row>
    <row r="52" customFormat="false" ht="9.75" hidden="false" customHeight="true" outlineLevel="0" collapsed="false">
      <c r="A52" s="506" t="str">
        <f aca="false">'12.lan'!D369</f>
        <v>BWA Botswana </v>
      </c>
      <c r="B52" s="506" t="s">
        <v>344</v>
      </c>
      <c r="C52" s="509" t="n">
        <v>2.31798796412646</v>
      </c>
      <c r="D52" s="506" t="s">
        <v>177</v>
      </c>
      <c r="E52" s="506" t="s">
        <v>286</v>
      </c>
      <c r="F52" s="509" t="n">
        <v>4</v>
      </c>
      <c r="G52" s="509"/>
      <c r="H52" s="457"/>
      <c r="J52" s="506" t="s">
        <v>345</v>
      </c>
    </row>
    <row r="53" customFormat="false" ht="9.75" hidden="false" customHeight="true" outlineLevel="0" collapsed="false">
      <c r="A53" s="506" t="str">
        <f aca="false">'12.lan'!D370</f>
        <v>CAF Central African Republic </v>
      </c>
      <c r="B53" s="506" t="s">
        <v>346</v>
      </c>
      <c r="C53" s="509" t="n">
        <v>2.26898769350892</v>
      </c>
      <c r="D53" s="506" t="s">
        <v>177</v>
      </c>
      <c r="E53" s="506" t="s">
        <v>286</v>
      </c>
      <c r="F53" s="509" t="n">
        <v>6</v>
      </c>
      <c r="G53" s="509" t="s">
        <v>280</v>
      </c>
      <c r="H53" s="457"/>
      <c r="J53" s="506" t="s">
        <v>347</v>
      </c>
    </row>
    <row r="54" customFormat="false" ht="9.75" hidden="false" customHeight="true" outlineLevel="0" collapsed="false">
      <c r="A54" s="506" t="str">
        <f aca="false">'12.lan'!D371</f>
        <v>CAN Canada </v>
      </c>
      <c r="B54" s="506" t="s">
        <v>348</v>
      </c>
      <c r="C54" s="509" t="n">
        <v>0.93653738034464</v>
      </c>
      <c r="D54" s="506" t="s">
        <v>177</v>
      </c>
      <c r="E54" s="506" t="s">
        <v>279</v>
      </c>
      <c r="F54" s="509" t="n">
        <v>3</v>
      </c>
      <c r="G54" s="509"/>
      <c r="H54" s="457"/>
      <c r="I54" s="510"/>
      <c r="J54" s="506" t="s">
        <v>349</v>
      </c>
    </row>
    <row r="55" customFormat="false" ht="9.75" hidden="false" customHeight="true" outlineLevel="0" collapsed="false">
      <c r="A55" s="506" t="str">
        <f aca="false">'12.lan'!D372</f>
        <v>CHE Switzerland </v>
      </c>
      <c r="B55" s="506" t="s">
        <v>350</v>
      </c>
      <c r="C55" s="509" t="n">
        <v>0.859199588564566</v>
      </c>
      <c r="D55" s="506" t="s">
        <v>177</v>
      </c>
      <c r="E55" s="506" t="s">
        <v>289</v>
      </c>
      <c r="F55" s="509" t="n">
        <v>2</v>
      </c>
      <c r="G55" s="509" t="s">
        <v>280</v>
      </c>
      <c r="H55" s="457"/>
      <c r="J55" s="506" t="s">
        <v>351</v>
      </c>
    </row>
    <row r="56" customFormat="false" ht="9.75" hidden="false" customHeight="true" outlineLevel="0" collapsed="false">
      <c r="A56" s="506" t="str">
        <f aca="false">'12.lan'!D373</f>
        <v>CHL Chile </v>
      </c>
      <c r="B56" s="506" t="s">
        <v>352</v>
      </c>
      <c r="C56" s="509" t="n">
        <v>1.66703704665635</v>
      </c>
      <c r="D56" s="506" t="s">
        <v>177</v>
      </c>
      <c r="E56" s="506" t="s">
        <v>279</v>
      </c>
      <c r="F56" s="509" t="n">
        <v>4</v>
      </c>
      <c r="G56" s="509"/>
      <c r="H56" s="457"/>
      <c r="J56" s="506" t="s">
        <v>353</v>
      </c>
    </row>
    <row r="57" customFormat="false" ht="9.75" hidden="false" customHeight="true" outlineLevel="0" collapsed="false">
      <c r="A57" s="506" t="str">
        <f aca="false">'12.lan'!D374</f>
        <v>CHN China </v>
      </c>
      <c r="B57" s="506" t="s">
        <v>354</v>
      </c>
      <c r="C57" s="509" t="n">
        <v>2.35233446735832</v>
      </c>
      <c r="D57" s="506" t="s">
        <v>177</v>
      </c>
      <c r="E57" s="506" t="s">
        <v>283</v>
      </c>
      <c r="F57" s="509" t="n">
        <v>5</v>
      </c>
      <c r="G57" s="509"/>
      <c r="H57" s="457"/>
      <c r="J57" s="506" t="s">
        <v>355</v>
      </c>
    </row>
    <row r="58" customFormat="false" ht="9.75" hidden="false" customHeight="true" outlineLevel="0" collapsed="false">
      <c r="A58" s="506" t="str">
        <f aca="false">'12.lan'!D375</f>
        <v>CIV Côte d'Ivoire </v>
      </c>
      <c r="B58" s="506" t="s">
        <v>356</v>
      </c>
      <c r="C58" s="509" t="n">
        <v>2.48565801976196</v>
      </c>
      <c r="D58" s="506" t="s">
        <v>177</v>
      </c>
      <c r="E58" s="506" t="s">
        <v>286</v>
      </c>
      <c r="F58" s="509" t="n">
        <v>4</v>
      </c>
      <c r="G58" s="509"/>
      <c r="H58" s="457"/>
      <c r="J58" s="506" t="s">
        <v>357</v>
      </c>
    </row>
    <row r="59" customFormat="false" ht="9.75" hidden="false" customHeight="true" outlineLevel="0" collapsed="false">
      <c r="A59" s="506" t="str">
        <f aca="false">'12.lan'!D376</f>
        <v>CMR Cameroon </v>
      </c>
      <c r="B59" s="506" t="s">
        <v>358</v>
      </c>
      <c r="C59" s="509" t="n">
        <v>2.52220307190023</v>
      </c>
      <c r="D59" s="506" t="s">
        <v>177</v>
      </c>
      <c r="E59" s="506" t="s">
        <v>286</v>
      </c>
      <c r="F59" s="509" t="n">
        <v>4</v>
      </c>
      <c r="G59" s="509"/>
      <c r="H59" s="457"/>
      <c r="J59" s="506" t="s">
        <v>359</v>
      </c>
    </row>
    <row r="60" customFormat="false" ht="9.75" hidden="false" customHeight="true" outlineLevel="0" collapsed="false">
      <c r="A60" s="506" t="str">
        <f aca="false">'12.lan'!D377</f>
        <v>COD Congo, the Democratic Republic of the </v>
      </c>
      <c r="B60" s="506" t="s">
        <v>360</v>
      </c>
      <c r="C60" s="509" t="n">
        <v>2.22614288567992</v>
      </c>
      <c r="D60" s="506" t="s">
        <v>177</v>
      </c>
      <c r="E60" s="506" t="s">
        <v>286</v>
      </c>
      <c r="F60" s="509" t="n">
        <v>2</v>
      </c>
      <c r="G60" s="509"/>
      <c r="H60" s="457"/>
      <c r="J60" s="506" t="s">
        <v>361</v>
      </c>
    </row>
    <row r="61" customFormat="false" ht="9.75" hidden="false" customHeight="true" outlineLevel="0" collapsed="false">
      <c r="A61" s="506" t="str">
        <f aca="false">'12.lan'!D378</f>
        <v>COG Congo </v>
      </c>
      <c r="B61" s="506" t="s">
        <v>362</v>
      </c>
      <c r="C61" s="509" t="n">
        <v>2.13525733488785</v>
      </c>
      <c r="D61" s="506" t="s">
        <v>177</v>
      </c>
      <c r="E61" s="506" t="s">
        <v>286</v>
      </c>
      <c r="F61" s="509" t="n">
        <v>3.79</v>
      </c>
      <c r="G61" s="509"/>
      <c r="H61" s="457"/>
      <c r="J61" s="506" t="s">
        <v>363</v>
      </c>
    </row>
    <row r="62" customFormat="false" ht="9.75" hidden="false" customHeight="true" outlineLevel="0" collapsed="false">
      <c r="A62" s="506" t="str">
        <f aca="false">'12.lan'!D379</f>
        <v>COL Colombia </v>
      </c>
      <c r="B62" s="506" t="s">
        <v>364</v>
      </c>
      <c r="C62" s="509" t="n">
        <v>1.95182356759191</v>
      </c>
      <c r="D62" s="506" t="s">
        <v>177</v>
      </c>
      <c r="E62" s="506" t="s">
        <v>279</v>
      </c>
      <c r="F62" s="509" t="n">
        <v>5</v>
      </c>
      <c r="G62" s="509"/>
      <c r="H62" s="457"/>
      <c r="J62" s="506" t="s">
        <v>365</v>
      </c>
    </row>
    <row r="63" customFormat="false" ht="9.75" hidden="false" customHeight="true" outlineLevel="0" collapsed="false">
      <c r="A63" s="506" t="str">
        <f aca="false">'12.lan'!D380</f>
        <v>COM Comoros </v>
      </c>
      <c r="B63" s="506" t="s">
        <v>366</v>
      </c>
      <c r="C63" s="509" t="n">
        <v>2.0789532636991</v>
      </c>
      <c r="D63" s="506" t="s">
        <v>177</v>
      </c>
      <c r="E63" s="506" t="s">
        <v>286</v>
      </c>
      <c r="F63" s="509" t="n">
        <v>3.79</v>
      </c>
      <c r="G63" s="509" t="s">
        <v>280</v>
      </c>
      <c r="H63" s="457"/>
      <c r="J63" s="506" t="s">
        <v>367</v>
      </c>
    </row>
    <row r="64" customFormat="false" ht="9.75" hidden="false" customHeight="true" outlineLevel="0" collapsed="false">
      <c r="A64" s="506" t="str">
        <f aca="false">'12.lan'!D381</f>
        <v>CPV Cape Verde </v>
      </c>
      <c r="B64" s="506" t="s">
        <v>368</v>
      </c>
      <c r="C64" s="509" t="n">
        <v>1.98269938566558</v>
      </c>
      <c r="D64" s="506" t="s">
        <v>177</v>
      </c>
      <c r="E64" s="506" t="s">
        <v>286</v>
      </c>
      <c r="F64" s="509" t="n">
        <v>3.79</v>
      </c>
      <c r="G64" s="509" t="s">
        <v>280</v>
      </c>
      <c r="H64" s="457"/>
      <c r="J64" s="506" t="s">
        <v>369</v>
      </c>
    </row>
    <row r="65" customFormat="false" ht="9.75" hidden="false" customHeight="true" outlineLevel="0" collapsed="false">
      <c r="A65" s="506" t="str">
        <f aca="false">'12.lan'!D382</f>
        <v>CRI Costa Rica </v>
      </c>
      <c r="B65" s="506" t="s">
        <v>370</v>
      </c>
      <c r="C65" s="509" t="n">
        <v>1.78681027733193</v>
      </c>
      <c r="D65" s="506" t="s">
        <v>177</v>
      </c>
      <c r="E65" s="506" t="s">
        <v>279</v>
      </c>
      <c r="F65" s="509" t="n">
        <v>2</v>
      </c>
      <c r="G65" s="509"/>
      <c r="H65" s="457"/>
      <c r="J65" s="506" t="s">
        <v>371</v>
      </c>
    </row>
    <row r="66" customFormat="false" ht="9.75" hidden="false" customHeight="true" outlineLevel="0" collapsed="false">
      <c r="A66" s="506" t="str">
        <f aca="false">'12.lan'!D383</f>
        <v>CUB Cuba </v>
      </c>
      <c r="B66" s="506" t="s">
        <v>372</v>
      </c>
      <c r="C66" s="509" t="n">
        <v>1.83434611496898</v>
      </c>
      <c r="D66" s="506" t="s">
        <v>280</v>
      </c>
      <c r="E66" s="506" t="s">
        <v>279</v>
      </c>
      <c r="F66" s="509" t="n">
        <v>3.52</v>
      </c>
      <c r="G66" s="509" t="s">
        <v>280</v>
      </c>
      <c r="H66" s="457"/>
      <c r="J66" s="506" t="s">
        <v>373</v>
      </c>
    </row>
    <row r="67" customFormat="false" ht="9.75" hidden="false" customHeight="true" outlineLevel="0" collapsed="false">
      <c r="A67" s="506" t="str">
        <f aca="false">'12.lan'!D384</f>
        <v>CUW Curaçao </v>
      </c>
      <c r="B67" s="506" t="s">
        <v>374</v>
      </c>
      <c r="C67" s="509" t="n">
        <v>1.83434611496898</v>
      </c>
      <c r="D67" s="506" t="s">
        <v>280</v>
      </c>
      <c r="E67" s="506" t="s">
        <v>279</v>
      </c>
      <c r="F67" s="509" t="n">
        <v>3.52</v>
      </c>
      <c r="G67" s="509" t="s">
        <v>280</v>
      </c>
      <c r="H67" s="457"/>
      <c r="J67" s="506" t="s">
        <v>375</v>
      </c>
    </row>
    <row r="68" customFormat="false" ht="9.75" hidden="false" customHeight="true" outlineLevel="0" collapsed="false">
      <c r="A68" s="506" t="str">
        <f aca="false">'12.lan'!D385</f>
        <v>CYM Cayman Islands </v>
      </c>
      <c r="B68" s="506" t="s">
        <v>376</v>
      </c>
      <c r="C68" s="509" t="n">
        <v>0.895014031969163</v>
      </c>
      <c r="D68" s="506" t="n">
        <v>2017</v>
      </c>
      <c r="E68" s="506" t="s">
        <v>279</v>
      </c>
      <c r="F68" s="509" t="n">
        <v>3.52</v>
      </c>
      <c r="G68" s="509" t="s">
        <v>280</v>
      </c>
      <c r="H68" s="457"/>
      <c r="J68" s="506" t="s">
        <v>377</v>
      </c>
    </row>
    <row r="69" customFormat="false" ht="9.75" hidden="false" customHeight="true" outlineLevel="0" collapsed="false">
      <c r="A69" s="506" t="str">
        <f aca="false">'12.lan'!D386</f>
        <v>CYP Cyprus </v>
      </c>
      <c r="B69" s="506" t="s">
        <v>378</v>
      </c>
      <c r="C69" s="509" t="n">
        <v>1.22233402594704</v>
      </c>
      <c r="D69" s="506" t="s">
        <v>177</v>
      </c>
      <c r="E69" s="506" t="s">
        <v>283</v>
      </c>
      <c r="F69" s="509" t="n">
        <v>4.47</v>
      </c>
      <c r="G69" s="509" t="s">
        <v>280</v>
      </c>
      <c r="H69" s="457"/>
      <c r="J69" s="506" t="s">
        <v>379</v>
      </c>
    </row>
    <row r="70" customFormat="false" ht="9.75" hidden="false" customHeight="true" outlineLevel="0" collapsed="false">
      <c r="A70" s="506" t="str">
        <f aca="false">'12.lan'!D387</f>
        <v>CZE Czech Republic </v>
      </c>
      <c r="B70" s="506" t="s">
        <v>380</v>
      </c>
      <c r="C70" s="509" t="n">
        <v>1.70143470418326</v>
      </c>
      <c r="D70" s="506" t="s">
        <v>177</v>
      </c>
      <c r="E70" s="506" t="s">
        <v>289</v>
      </c>
      <c r="F70" s="509" t="n">
        <v>2</v>
      </c>
      <c r="G70" s="509"/>
      <c r="H70" s="457"/>
      <c r="J70" s="506" t="s">
        <v>381</v>
      </c>
    </row>
    <row r="71" customFormat="false" ht="9.75" hidden="false" customHeight="true" outlineLevel="0" collapsed="false">
      <c r="A71" s="506" t="str">
        <f aca="false">'12.lan'!D388</f>
        <v>DEU Germany </v>
      </c>
      <c r="B71" s="506" t="s">
        <v>382</v>
      </c>
      <c r="C71" s="509" t="n">
        <v>1.11788030334198</v>
      </c>
      <c r="D71" s="506" t="s">
        <v>177</v>
      </c>
      <c r="E71" s="506" t="s">
        <v>289</v>
      </c>
      <c r="F71" s="509" t="n">
        <v>1</v>
      </c>
      <c r="G71" s="509"/>
      <c r="H71" s="457"/>
      <c r="J71" s="506" t="s">
        <v>383</v>
      </c>
    </row>
    <row r="72" customFormat="false" ht="9.75" hidden="false" customHeight="true" outlineLevel="0" collapsed="false">
      <c r="A72" s="506" t="str">
        <f aca="false">'12.lan'!D389</f>
        <v>DJI Djibouti </v>
      </c>
      <c r="B72" s="506" t="s">
        <v>384</v>
      </c>
      <c r="C72" s="509" t="n">
        <v>2.51455039477944</v>
      </c>
      <c r="D72" s="506" t="s">
        <v>280</v>
      </c>
      <c r="E72" s="506" t="s">
        <v>286</v>
      </c>
      <c r="F72" s="509" t="n">
        <v>4</v>
      </c>
      <c r="G72" s="509" t="s">
        <v>280</v>
      </c>
      <c r="H72" s="457"/>
      <c r="J72" s="506" t="s">
        <v>385</v>
      </c>
    </row>
    <row r="73" customFormat="false" ht="9.75" hidden="false" customHeight="true" outlineLevel="0" collapsed="false">
      <c r="A73" s="506" t="str">
        <f aca="false">'12.lan'!D390</f>
        <v>DMA Dominica </v>
      </c>
      <c r="B73" s="506" t="s">
        <v>386</v>
      </c>
      <c r="C73" s="509" t="n">
        <v>1.66257623602982</v>
      </c>
      <c r="D73" s="506" t="s">
        <v>177</v>
      </c>
      <c r="E73" s="506" t="s">
        <v>279</v>
      </c>
      <c r="F73" s="509" t="n">
        <v>2</v>
      </c>
      <c r="G73" s="509" t="s">
        <v>280</v>
      </c>
      <c r="H73" s="457"/>
      <c r="J73" s="506" t="s">
        <v>387</v>
      </c>
    </row>
    <row r="74" customFormat="false" ht="9.75" hidden="false" customHeight="true" outlineLevel="0" collapsed="false">
      <c r="A74" s="506" t="str">
        <f aca="false">'12.lan'!D391</f>
        <v>DNK Denmark </v>
      </c>
      <c r="B74" s="506" t="s">
        <v>388</v>
      </c>
      <c r="C74" s="509" t="n">
        <v>0.871585189949068</v>
      </c>
      <c r="D74" s="506" t="s">
        <v>177</v>
      </c>
      <c r="E74" s="506" t="s">
        <v>289</v>
      </c>
      <c r="F74" s="509" t="n">
        <v>1</v>
      </c>
      <c r="G74" s="509"/>
      <c r="H74" s="457"/>
      <c r="J74" s="506" t="s">
        <v>389</v>
      </c>
    </row>
    <row r="75" customFormat="false" ht="9.75" hidden="false" customHeight="true" outlineLevel="0" collapsed="false">
      <c r="A75" s="506" t="str">
        <f aca="false">'12.lan'!D392</f>
        <v>DOM Dominican Republic </v>
      </c>
      <c r="B75" s="506" t="s">
        <v>390</v>
      </c>
      <c r="C75" s="509" t="n">
        <v>2.30564075665491</v>
      </c>
      <c r="D75" s="506" t="s">
        <v>177</v>
      </c>
      <c r="E75" s="506" t="s">
        <v>279</v>
      </c>
      <c r="F75" s="509" t="n">
        <v>2</v>
      </c>
      <c r="G75" s="509"/>
      <c r="H75" s="457"/>
      <c r="J75" s="506" t="s">
        <v>391</v>
      </c>
    </row>
    <row r="76" customFormat="false" ht="9.75" hidden="false" customHeight="true" outlineLevel="0" collapsed="false">
      <c r="A76" s="506" t="str">
        <f aca="false">'12.lan'!D393</f>
        <v>DZA Algeria </v>
      </c>
      <c r="B76" s="506" t="s">
        <v>392</v>
      </c>
      <c r="C76" s="509" t="n">
        <v>3.249489293279</v>
      </c>
      <c r="D76" s="506" t="s">
        <v>177</v>
      </c>
      <c r="E76" s="506" t="s">
        <v>286</v>
      </c>
      <c r="F76" s="509" t="n">
        <v>5</v>
      </c>
      <c r="G76" s="509"/>
      <c r="H76" s="457"/>
      <c r="J76" s="506" t="s">
        <v>393</v>
      </c>
    </row>
    <row r="77" customFormat="false" ht="9.75" hidden="false" customHeight="true" outlineLevel="0" collapsed="false">
      <c r="A77" s="506" t="str">
        <f aca="false">'12.lan'!D394</f>
        <v>ECU Ecuador </v>
      </c>
      <c r="B77" s="506" t="s">
        <v>394</v>
      </c>
      <c r="C77" s="509" t="n">
        <v>2.26310133150859</v>
      </c>
      <c r="D77" s="506" t="s">
        <v>177</v>
      </c>
      <c r="E77" s="506" t="s">
        <v>279</v>
      </c>
      <c r="F77" s="509" t="n">
        <v>5</v>
      </c>
      <c r="G77" s="509"/>
      <c r="H77" s="457"/>
      <c r="J77" s="506" t="s">
        <v>395</v>
      </c>
    </row>
    <row r="78" customFormat="false" ht="9.75" hidden="false" customHeight="true" outlineLevel="0" collapsed="false">
      <c r="A78" s="506" t="str">
        <f aca="false">'12.lan'!D395</f>
        <v>EGY Egypt </v>
      </c>
      <c r="B78" s="506" t="s">
        <v>396</v>
      </c>
      <c r="C78" s="509" t="n">
        <v>4.26933385807462</v>
      </c>
      <c r="D78" s="506" t="s">
        <v>177</v>
      </c>
      <c r="E78" s="506" t="s">
        <v>286</v>
      </c>
      <c r="F78" s="509" t="n">
        <v>5</v>
      </c>
      <c r="G78" s="509"/>
      <c r="H78" s="457"/>
      <c r="J78" s="506" t="s">
        <v>397</v>
      </c>
    </row>
    <row r="79" customFormat="false" ht="9.75" hidden="false" customHeight="true" outlineLevel="0" collapsed="false">
      <c r="A79" s="506" t="str">
        <f aca="false">'12.lan'!D396</f>
        <v>ERI Eritrea </v>
      </c>
      <c r="B79" s="506" t="s">
        <v>398</v>
      </c>
      <c r="C79" s="509" t="n">
        <v>2.51455039477944</v>
      </c>
      <c r="D79" s="506" t="s">
        <v>280</v>
      </c>
      <c r="E79" s="506" t="s">
        <v>286</v>
      </c>
      <c r="F79" s="509" t="n">
        <v>5</v>
      </c>
      <c r="G79" s="509" t="s">
        <v>280</v>
      </c>
      <c r="H79" s="457"/>
      <c r="J79" s="506" t="s">
        <v>399</v>
      </c>
    </row>
    <row r="80" customFormat="false" ht="9.75" hidden="false" customHeight="true" outlineLevel="0" collapsed="false">
      <c r="A80" s="506" t="str">
        <f aca="false">'12.lan'!D397</f>
        <v>ESP Spain </v>
      </c>
      <c r="B80" s="506" t="s">
        <v>400</v>
      </c>
      <c r="C80" s="509" t="n">
        <v>1.20533969388003</v>
      </c>
      <c r="D80" s="506" t="s">
        <v>177</v>
      </c>
      <c r="E80" s="506" t="s">
        <v>289</v>
      </c>
      <c r="F80" s="509" t="n">
        <v>3</v>
      </c>
      <c r="G80" s="509"/>
      <c r="H80" s="457"/>
      <c r="J80" s="506" t="s">
        <v>401</v>
      </c>
    </row>
    <row r="81" customFormat="false" ht="9.75" hidden="false" customHeight="true" outlineLevel="0" collapsed="false">
      <c r="A81" s="506" t="str">
        <f aca="false">'12.lan'!D398</f>
        <v>EST Estonia </v>
      </c>
      <c r="B81" s="506" t="s">
        <v>402</v>
      </c>
      <c r="C81" s="509" t="n">
        <v>1.80282358890045</v>
      </c>
      <c r="D81" s="506" t="s">
        <v>177</v>
      </c>
      <c r="E81" s="506" t="s">
        <v>289</v>
      </c>
      <c r="F81" s="509" t="n">
        <v>2</v>
      </c>
      <c r="G81" s="509"/>
      <c r="H81" s="457"/>
      <c r="J81" s="506" t="s">
        <v>403</v>
      </c>
    </row>
    <row r="82" customFormat="false" ht="9.75" hidden="false" customHeight="true" outlineLevel="0" collapsed="false">
      <c r="A82" s="506" t="str">
        <f aca="false">'12.lan'!D399</f>
        <v>ETH Ethiopia </v>
      </c>
      <c r="B82" s="506" t="s">
        <v>404</v>
      </c>
      <c r="C82" s="509" t="n">
        <v>3.54570898327038</v>
      </c>
      <c r="D82" s="506" t="s">
        <v>177</v>
      </c>
      <c r="E82" s="506" t="s">
        <v>286</v>
      </c>
      <c r="F82" s="509" t="n">
        <v>4</v>
      </c>
      <c r="G82" s="509"/>
      <c r="H82" s="457"/>
      <c r="J82" s="506" t="s">
        <v>405</v>
      </c>
    </row>
    <row r="83" customFormat="false" ht="9.75" hidden="false" customHeight="true" outlineLevel="0" collapsed="false">
      <c r="A83" s="506" t="str">
        <f aca="false">'12.lan'!D400</f>
        <v>FIN Finland </v>
      </c>
      <c r="B83" s="506" t="s">
        <v>406</v>
      </c>
      <c r="C83" s="509" t="n">
        <v>0.99318659849216</v>
      </c>
      <c r="D83" s="506" t="s">
        <v>177</v>
      </c>
      <c r="E83" s="506" t="s">
        <v>289</v>
      </c>
      <c r="F83" s="509" t="n">
        <v>1</v>
      </c>
      <c r="G83" s="509"/>
      <c r="H83" s="457"/>
      <c r="J83" s="506" t="s">
        <v>407</v>
      </c>
    </row>
    <row r="84" customFormat="false" ht="9.75" hidden="false" customHeight="true" outlineLevel="0" collapsed="false">
      <c r="A84" s="506" t="str">
        <f aca="false">'12.lan'!D401</f>
        <v>FJI Fiji </v>
      </c>
      <c r="B84" s="506" t="s">
        <v>408</v>
      </c>
      <c r="C84" s="509" t="n">
        <v>2.26882944235556</v>
      </c>
      <c r="D84" s="506" t="s">
        <v>177</v>
      </c>
      <c r="E84" s="506" t="s">
        <v>300</v>
      </c>
      <c r="F84" s="509" t="n">
        <v>4</v>
      </c>
      <c r="G84" s="509" t="s">
        <v>280</v>
      </c>
      <c r="H84" s="457"/>
      <c r="J84" s="506" t="s">
        <v>409</v>
      </c>
    </row>
    <row r="85" customFormat="false" ht="9.75" hidden="false" customHeight="true" outlineLevel="0" collapsed="false">
      <c r="A85" s="506" t="str">
        <f aca="false">'12.lan'!D402</f>
        <v>FRA France </v>
      </c>
      <c r="B85" s="506" t="s">
        <v>410</v>
      </c>
      <c r="C85" s="509" t="n">
        <v>1.03844876263106</v>
      </c>
      <c r="D85" s="506" t="s">
        <v>177</v>
      </c>
      <c r="E85" s="506" t="s">
        <v>289</v>
      </c>
      <c r="F85" s="509" t="n">
        <v>2</v>
      </c>
      <c r="G85" s="509"/>
      <c r="H85" s="457"/>
      <c r="J85" s="506" t="s">
        <v>411</v>
      </c>
    </row>
    <row r="86" customFormat="false" ht="9.75" hidden="false" customHeight="true" outlineLevel="0" collapsed="false">
      <c r="A86" s="506" t="str">
        <f aca="false">'12.lan'!D403</f>
        <v>FRO Faroe Islands </v>
      </c>
      <c r="B86" s="506" t="s">
        <v>412</v>
      </c>
      <c r="C86" s="509" t="n">
        <v>1.03314026740667</v>
      </c>
      <c r="D86" s="506" t="s">
        <v>280</v>
      </c>
      <c r="E86" s="506" t="s">
        <v>289</v>
      </c>
      <c r="F86" s="509" t="n">
        <v>2.55</v>
      </c>
      <c r="G86" s="509" t="s">
        <v>280</v>
      </c>
      <c r="H86" s="457"/>
      <c r="J86" s="506" t="s">
        <v>413</v>
      </c>
    </row>
    <row r="87" customFormat="false" ht="9.75" hidden="false" customHeight="true" outlineLevel="0" collapsed="false">
      <c r="A87" s="506" t="str">
        <f aca="false">'12.lan'!D404</f>
        <v>FSM Micronesia, Federated States of </v>
      </c>
      <c r="B87" s="506" t="s">
        <v>414</v>
      </c>
      <c r="C87" s="509" t="n">
        <v>1.30214362287214</v>
      </c>
      <c r="D87" s="506" t="s">
        <v>177</v>
      </c>
      <c r="E87" s="506" t="s">
        <v>300</v>
      </c>
      <c r="F87" s="509" t="n">
        <v>4.05</v>
      </c>
      <c r="G87" s="509" t="s">
        <v>280</v>
      </c>
      <c r="H87" s="457"/>
      <c r="J87" s="506" t="s">
        <v>415</v>
      </c>
    </row>
    <row r="88" customFormat="false" ht="9.75" hidden="false" customHeight="true" outlineLevel="0" collapsed="false">
      <c r="A88" s="506" t="str">
        <f aca="false">'12.lan'!D405</f>
        <v>GAB Gabon </v>
      </c>
      <c r="B88" s="506" t="s">
        <v>416</v>
      </c>
      <c r="C88" s="509" t="n">
        <v>1.97686928234173</v>
      </c>
      <c r="D88" s="506" t="s">
        <v>177</v>
      </c>
      <c r="E88" s="506" t="s">
        <v>286</v>
      </c>
      <c r="F88" s="509" t="n">
        <v>3.79</v>
      </c>
      <c r="G88" s="509" t="s">
        <v>280</v>
      </c>
      <c r="H88" s="457"/>
      <c r="J88" s="506" t="s">
        <v>417</v>
      </c>
    </row>
    <row r="89" customFormat="false" ht="9.75" hidden="false" customHeight="true" outlineLevel="0" collapsed="false">
      <c r="A89" s="506" t="str">
        <f aca="false">'12.lan'!D406</f>
        <v>GBR United Kingdom </v>
      </c>
      <c r="B89" s="506" t="s">
        <v>418</v>
      </c>
      <c r="C89" s="509" t="n">
        <v>1.06114265254678</v>
      </c>
      <c r="D89" s="506" t="s">
        <v>177</v>
      </c>
      <c r="E89" s="506" t="s">
        <v>289</v>
      </c>
      <c r="F89" s="509" t="n">
        <v>3</v>
      </c>
      <c r="G89" s="509"/>
      <c r="H89" s="457"/>
      <c r="J89" s="506" t="s">
        <v>419</v>
      </c>
    </row>
    <row r="90" customFormat="false" ht="9.75" hidden="false" customHeight="true" outlineLevel="0" collapsed="false">
      <c r="A90" s="506" t="str">
        <f aca="false">'12.lan'!D407</f>
        <v>GEO Georgia </v>
      </c>
      <c r="B90" s="506" t="s">
        <v>420</v>
      </c>
      <c r="C90" s="509" t="n">
        <v>2.54264005531634</v>
      </c>
      <c r="D90" s="506" t="s">
        <v>177</v>
      </c>
      <c r="E90" s="506" t="s">
        <v>283</v>
      </c>
      <c r="F90" s="509" t="n">
        <v>3</v>
      </c>
      <c r="G90" s="509"/>
      <c r="H90" s="457"/>
      <c r="J90" s="506" t="s">
        <v>421</v>
      </c>
    </row>
    <row r="91" customFormat="false" ht="9.75" hidden="false" customHeight="true" outlineLevel="0" collapsed="false">
      <c r="A91" s="506" t="str">
        <f aca="false">'12.lan'!D408</f>
        <v>GHA Ghana </v>
      </c>
      <c r="B91" s="506" t="s">
        <v>422</v>
      </c>
      <c r="C91" s="509" t="n">
        <v>2.62673939905566</v>
      </c>
      <c r="D91" s="506" t="s">
        <v>177</v>
      </c>
      <c r="E91" s="506" t="s">
        <v>286</v>
      </c>
      <c r="F91" s="509" t="n">
        <v>3</v>
      </c>
      <c r="G91" s="509"/>
      <c r="H91" s="457"/>
      <c r="J91" s="506" t="s">
        <v>423</v>
      </c>
    </row>
    <row r="92" customFormat="false" ht="9.75" hidden="false" customHeight="true" outlineLevel="0" collapsed="false">
      <c r="A92" s="506" t="str">
        <f aca="false">'12.lan'!D409</f>
        <v>GIB Gibraltar </v>
      </c>
      <c r="B92" s="506" t="s">
        <v>424</v>
      </c>
      <c r="C92" s="509" t="n">
        <v>1.03314026740667</v>
      </c>
      <c r="D92" s="506" t="s">
        <v>280</v>
      </c>
      <c r="E92" s="506" t="s">
        <v>289</v>
      </c>
      <c r="F92" s="509" t="n">
        <v>2.55</v>
      </c>
      <c r="G92" s="509" t="s">
        <v>280</v>
      </c>
      <c r="H92" s="457"/>
      <c r="J92" s="506" t="s">
        <v>425</v>
      </c>
    </row>
    <row r="93" customFormat="false" ht="9.75" hidden="false" customHeight="true" outlineLevel="0" collapsed="false">
      <c r="A93" s="506" t="str">
        <f aca="false">'12.lan'!D410</f>
        <v>GIN Guinea </v>
      </c>
      <c r="B93" s="506" t="s">
        <v>426</v>
      </c>
      <c r="C93" s="509" t="n">
        <v>2.79303235967263</v>
      </c>
      <c r="D93" s="506" t="s">
        <v>177</v>
      </c>
      <c r="E93" s="506" t="s">
        <v>286</v>
      </c>
      <c r="F93" s="509" t="n">
        <v>3.79</v>
      </c>
      <c r="G93" s="509" t="s">
        <v>280</v>
      </c>
      <c r="H93" s="457"/>
      <c r="J93" s="506" t="s">
        <v>427</v>
      </c>
    </row>
    <row r="94" customFormat="false" ht="9.75" hidden="false" customHeight="true" outlineLevel="0" collapsed="false">
      <c r="A94" s="506" t="str">
        <f aca="false">'12.lan'!D411</f>
        <v>GMB Gambia </v>
      </c>
      <c r="B94" s="506" t="s">
        <v>428</v>
      </c>
      <c r="C94" s="509" t="n">
        <v>3.32157916601544</v>
      </c>
      <c r="D94" s="506" t="s">
        <v>177</v>
      </c>
      <c r="E94" s="506" t="s">
        <v>286</v>
      </c>
      <c r="F94" s="509" t="n">
        <v>3.79</v>
      </c>
      <c r="G94" s="509" t="s">
        <v>280</v>
      </c>
      <c r="H94" s="457"/>
      <c r="J94" s="506" t="s">
        <v>429</v>
      </c>
    </row>
    <row r="95" customFormat="false" ht="9.75" hidden="false" customHeight="true" outlineLevel="0" collapsed="false">
      <c r="A95" s="506" t="str">
        <f aca="false">'12.lan'!D412</f>
        <v>GNB Guinea-Bissau </v>
      </c>
      <c r="B95" s="506" t="s">
        <v>430</v>
      </c>
      <c r="C95" s="509" t="n">
        <v>2.89202095548155</v>
      </c>
      <c r="D95" s="506" t="s">
        <v>177</v>
      </c>
      <c r="E95" s="506" t="s">
        <v>286</v>
      </c>
      <c r="F95" s="509" t="n">
        <v>3.79</v>
      </c>
      <c r="G95" s="509" t="s">
        <v>280</v>
      </c>
      <c r="H95" s="457"/>
      <c r="I95" s="510"/>
      <c r="J95" s="506" t="s">
        <v>431</v>
      </c>
    </row>
    <row r="96" customFormat="false" ht="9.75" hidden="false" customHeight="true" outlineLevel="0" collapsed="false">
      <c r="A96" s="506" t="str">
        <f aca="false">'12.lan'!D413</f>
        <v>GNQ Equatorial Guinea </v>
      </c>
      <c r="B96" s="506" t="s">
        <v>432</v>
      </c>
      <c r="C96" s="509" t="n">
        <v>2.21782929320958</v>
      </c>
      <c r="D96" s="506" t="s">
        <v>177</v>
      </c>
      <c r="E96" s="506" t="s">
        <v>286</v>
      </c>
      <c r="F96" s="509" t="n">
        <v>3.79</v>
      </c>
      <c r="G96" s="509" t="s">
        <v>280</v>
      </c>
      <c r="H96" s="457"/>
      <c r="J96" s="506" t="s">
        <v>433</v>
      </c>
    </row>
    <row r="97" customFormat="false" ht="9.75" hidden="false" customHeight="true" outlineLevel="0" collapsed="false">
      <c r="A97" s="506" t="str">
        <f aca="false">'12.lan'!D414</f>
        <v>GRC Greece </v>
      </c>
      <c r="B97" s="506" t="s">
        <v>434</v>
      </c>
      <c r="C97" s="509" t="n">
        <v>1.25613579025947</v>
      </c>
      <c r="D97" s="506" t="s">
        <v>177</v>
      </c>
      <c r="E97" s="506" t="s">
        <v>289</v>
      </c>
      <c r="F97" s="509" t="n">
        <v>5</v>
      </c>
      <c r="G97" s="509"/>
      <c r="H97" s="457"/>
      <c r="J97" s="506" t="s">
        <v>435</v>
      </c>
    </row>
    <row r="98" customFormat="false" ht="9.75" hidden="false" customHeight="true" outlineLevel="0" collapsed="false">
      <c r="A98" s="506" t="str">
        <f aca="false">'12.lan'!D415</f>
        <v>GRD Grenada </v>
      </c>
      <c r="B98" s="506" t="s">
        <v>436</v>
      </c>
      <c r="C98" s="509" t="n">
        <v>1.71031010381376</v>
      </c>
      <c r="D98" s="506" t="s">
        <v>177</v>
      </c>
      <c r="E98" s="506" t="s">
        <v>279</v>
      </c>
      <c r="F98" s="509" t="n">
        <v>3.52</v>
      </c>
      <c r="G98" s="509" t="s">
        <v>280</v>
      </c>
      <c r="H98" s="457"/>
      <c r="J98" s="506" t="s">
        <v>437</v>
      </c>
    </row>
    <row r="99" customFormat="false" ht="9.75" hidden="false" customHeight="true" outlineLevel="0" collapsed="false">
      <c r="A99" s="506" t="str">
        <f aca="false">'12.lan'!D416</f>
        <v>GRL Greenland </v>
      </c>
      <c r="B99" s="506" t="s">
        <v>438</v>
      </c>
      <c r="C99" s="509" t="n">
        <v>1.00304566871495</v>
      </c>
      <c r="D99" s="506" t="s">
        <v>280</v>
      </c>
      <c r="E99" s="506" t="s">
        <v>279</v>
      </c>
      <c r="F99" s="509" t="n">
        <v>3.52</v>
      </c>
      <c r="G99" s="509" t="s">
        <v>280</v>
      </c>
      <c r="H99" s="457"/>
      <c r="J99" s="506" t="s">
        <v>439</v>
      </c>
    </row>
    <row r="100" customFormat="false" ht="9.75" hidden="false" customHeight="true" outlineLevel="0" collapsed="false">
      <c r="A100" s="506" t="str">
        <f aca="false">'12.lan'!D417</f>
        <v>GTM Guatemala </v>
      </c>
      <c r="B100" s="506" t="s">
        <v>440</v>
      </c>
      <c r="C100" s="509" t="n">
        <v>2.67799402023614</v>
      </c>
      <c r="D100" s="506" t="s">
        <v>177</v>
      </c>
      <c r="E100" s="506" t="s">
        <v>279</v>
      </c>
      <c r="F100" s="509" t="n">
        <v>5</v>
      </c>
      <c r="G100" s="509"/>
      <c r="H100" s="457"/>
      <c r="J100" s="506" t="s">
        <v>441</v>
      </c>
    </row>
    <row r="101" customFormat="false" ht="9.75" hidden="false" customHeight="true" outlineLevel="0" collapsed="false">
      <c r="A101" s="506" t="str">
        <f aca="false">'12.lan'!D418</f>
        <v>GUM Guam </v>
      </c>
      <c r="B101" s="506" t="s">
        <v>442</v>
      </c>
      <c r="C101" s="509" t="n">
        <v>1.49858687129258</v>
      </c>
      <c r="D101" s="506" t="s">
        <v>280</v>
      </c>
      <c r="E101" s="506" t="s">
        <v>300</v>
      </c>
      <c r="F101" s="509" t="n">
        <v>4.05</v>
      </c>
      <c r="G101" s="509" t="s">
        <v>280</v>
      </c>
      <c r="H101" s="457"/>
      <c r="J101" s="506" t="s">
        <v>443</v>
      </c>
    </row>
    <row r="102" customFormat="false" ht="9.75" hidden="false" customHeight="true" outlineLevel="0" collapsed="false">
      <c r="A102" s="506" t="str">
        <f aca="false">'12.lan'!D419</f>
        <v>GUY Guyana </v>
      </c>
      <c r="B102" s="506" t="s">
        <v>444</v>
      </c>
      <c r="C102" s="509" t="n">
        <v>2.16439069544639</v>
      </c>
      <c r="D102" s="506" t="s">
        <v>177</v>
      </c>
      <c r="E102" s="506" t="s">
        <v>279</v>
      </c>
      <c r="F102" s="509" t="n">
        <v>3.52</v>
      </c>
      <c r="G102" s="509" t="s">
        <v>280</v>
      </c>
      <c r="H102" s="457"/>
      <c r="J102" s="506" t="s">
        <v>445</v>
      </c>
    </row>
    <row r="103" customFormat="false" ht="9.75" hidden="false" customHeight="true" outlineLevel="0" collapsed="false">
      <c r="A103" s="506" t="str">
        <f aca="false">'12.lan'!D420</f>
        <v>HKG Hong Kong </v>
      </c>
      <c r="B103" s="506" t="s">
        <v>446</v>
      </c>
      <c r="C103" s="509" t="n">
        <v>1.66564182487958</v>
      </c>
      <c r="D103" s="506" t="s">
        <v>177</v>
      </c>
      <c r="E103" s="506" t="s">
        <v>283</v>
      </c>
      <c r="F103" s="509" t="n">
        <v>5</v>
      </c>
      <c r="G103" s="509"/>
      <c r="H103" s="457"/>
      <c r="J103" s="506" t="s">
        <v>447</v>
      </c>
    </row>
    <row r="104" customFormat="false" ht="9.75" hidden="false" customHeight="true" outlineLevel="0" collapsed="false">
      <c r="A104" s="506" t="str">
        <f aca="false">'12.lan'!D421</f>
        <v>HND Honduras </v>
      </c>
      <c r="B104" s="506" t="s">
        <v>448</v>
      </c>
      <c r="C104" s="509" t="n">
        <v>2.31546294959604</v>
      </c>
      <c r="D104" s="506" t="s">
        <v>177</v>
      </c>
      <c r="E104" s="506" t="s">
        <v>279</v>
      </c>
      <c r="F104" s="509" t="n">
        <v>5</v>
      </c>
      <c r="G104" s="509"/>
      <c r="H104" s="457"/>
      <c r="J104" s="506" t="s">
        <v>449</v>
      </c>
    </row>
    <row r="105" customFormat="false" ht="9.75" hidden="false" customHeight="true" outlineLevel="0" collapsed="false">
      <c r="A105" s="506" t="str">
        <f aca="false">'12.lan'!D422</f>
        <v>HRV Croatia </v>
      </c>
      <c r="B105" s="506" t="s">
        <v>450</v>
      </c>
      <c r="C105" s="509" t="n">
        <v>1.73571229237781</v>
      </c>
      <c r="D105" s="506" t="s">
        <v>177</v>
      </c>
      <c r="E105" s="506" t="s">
        <v>289</v>
      </c>
      <c r="F105" s="509" t="n">
        <v>2</v>
      </c>
      <c r="G105" s="509"/>
      <c r="H105" s="457"/>
      <c r="J105" s="506" t="s">
        <v>451</v>
      </c>
    </row>
    <row r="106" customFormat="false" ht="9.75" hidden="false" customHeight="true" outlineLevel="0" collapsed="false">
      <c r="A106" s="506" t="str">
        <f aca="false">'12.lan'!D423</f>
        <v>HTI Haiti </v>
      </c>
      <c r="B106" s="506" t="s">
        <v>452</v>
      </c>
      <c r="C106" s="509" t="n">
        <v>2.55597150548489</v>
      </c>
      <c r="D106" s="506" t="s">
        <v>177</v>
      </c>
      <c r="E106" s="506" t="s">
        <v>279</v>
      </c>
      <c r="F106" s="509" t="n">
        <v>4</v>
      </c>
      <c r="G106" s="509" t="s">
        <v>280</v>
      </c>
      <c r="H106" s="457"/>
      <c r="J106" s="506" t="s">
        <v>453</v>
      </c>
    </row>
    <row r="107" customFormat="false" ht="9.75" hidden="false" customHeight="true" outlineLevel="0" collapsed="false">
      <c r="A107" s="506" t="str">
        <f aca="false">'12.lan'!D424</f>
        <v>HUN Hungary </v>
      </c>
      <c r="B107" s="506" t="s">
        <v>454</v>
      </c>
      <c r="C107" s="509" t="n">
        <v>1.86827096640336</v>
      </c>
      <c r="D107" s="506" t="s">
        <v>177</v>
      </c>
      <c r="E107" s="506" t="s">
        <v>289</v>
      </c>
      <c r="F107" s="509" t="n">
        <v>3</v>
      </c>
      <c r="G107" s="509"/>
      <c r="H107" s="457"/>
      <c r="J107" s="506" t="s">
        <v>455</v>
      </c>
    </row>
    <row r="108" customFormat="false" ht="9.75" hidden="false" customHeight="true" outlineLevel="0" collapsed="false">
      <c r="A108" s="506" t="str">
        <f aca="false">'12.lan'!D425</f>
        <v>IDN Indonesia </v>
      </c>
      <c r="B108" s="506" t="s">
        <v>456</v>
      </c>
      <c r="C108" s="509" t="n">
        <v>3.05266744232118</v>
      </c>
      <c r="D108" s="506" t="s">
        <v>177</v>
      </c>
      <c r="E108" s="506" t="s">
        <v>283</v>
      </c>
      <c r="F108" s="509" t="n">
        <v>5</v>
      </c>
      <c r="G108" s="509"/>
      <c r="H108" s="457"/>
      <c r="J108" s="506" t="s">
        <v>457</v>
      </c>
    </row>
    <row r="109" customFormat="false" ht="9.75" hidden="false" customHeight="true" outlineLevel="0" collapsed="false">
      <c r="A109" s="506" t="str">
        <f aca="false">'12.lan'!D426</f>
        <v>IMN Isle of Man </v>
      </c>
      <c r="B109" s="506" t="s">
        <v>458</v>
      </c>
      <c r="C109" s="509" t="n">
        <v>3.15826638831551</v>
      </c>
      <c r="D109" s="506" t="s">
        <v>177</v>
      </c>
      <c r="E109" s="506" t="s">
        <v>289</v>
      </c>
      <c r="F109" s="509" t="n">
        <v>2.55</v>
      </c>
      <c r="G109" s="509" t="s">
        <v>280</v>
      </c>
      <c r="H109" s="457"/>
      <c r="J109" s="506" t="s">
        <v>459</v>
      </c>
    </row>
    <row r="110" customFormat="false" ht="9.75" hidden="false" customHeight="true" outlineLevel="0" collapsed="false">
      <c r="A110" s="506" t="str">
        <f aca="false">'12.lan'!D427</f>
        <v>IND India </v>
      </c>
      <c r="B110" s="506" t="s">
        <v>460</v>
      </c>
      <c r="C110" s="509" t="n">
        <v>3.69520129739433</v>
      </c>
      <c r="D110" s="506" t="s">
        <v>177</v>
      </c>
      <c r="E110" s="506" t="s">
        <v>283</v>
      </c>
      <c r="F110" s="509" t="n">
        <v>5</v>
      </c>
      <c r="G110" s="509"/>
      <c r="H110" s="457"/>
      <c r="J110" s="506" t="s">
        <v>461</v>
      </c>
    </row>
    <row r="111" customFormat="false" ht="9.75" hidden="false" customHeight="true" outlineLevel="0" collapsed="false">
      <c r="A111" s="506" t="str">
        <f aca="false">'12.lan'!D428</f>
        <v>IRL Ireland </v>
      </c>
      <c r="B111" s="506" t="s">
        <v>462</v>
      </c>
      <c r="C111" s="509" t="n">
        <v>1.08223882097464</v>
      </c>
      <c r="D111" s="506" t="s">
        <v>177</v>
      </c>
      <c r="E111" s="506" t="s">
        <v>289</v>
      </c>
      <c r="F111" s="509" t="n">
        <v>1</v>
      </c>
      <c r="G111" s="509"/>
      <c r="H111" s="457"/>
      <c r="J111" s="506" t="s">
        <v>463</v>
      </c>
    </row>
    <row r="112" customFormat="false" ht="9.75" hidden="false" customHeight="true" outlineLevel="0" collapsed="false">
      <c r="A112" s="506" t="str">
        <f aca="false">'12.lan'!D429</f>
        <v>IRN Iran, Islamic Republic of </v>
      </c>
      <c r="B112" s="506" t="s">
        <v>464</v>
      </c>
      <c r="C112" s="509" t="n">
        <v>3.73351533702455</v>
      </c>
      <c r="D112" s="506" t="n">
        <v>2017</v>
      </c>
      <c r="E112" s="506" t="s">
        <v>283</v>
      </c>
      <c r="F112" s="509" t="n">
        <v>5</v>
      </c>
      <c r="G112" s="509"/>
      <c r="H112" s="457"/>
      <c r="J112" s="506" t="s">
        <v>465</v>
      </c>
    </row>
    <row r="113" customFormat="false" ht="9.75" hidden="false" customHeight="true" outlineLevel="0" collapsed="false">
      <c r="A113" s="506" t="str">
        <f aca="false">'12.lan'!D430</f>
        <v>IRQ Iraq </v>
      </c>
      <c r="B113" s="506" t="s">
        <v>466</v>
      </c>
      <c r="C113" s="509" t="n">
        <v>3.18306336487877</v>
      </c>
      <c r="D113" s="506" t="s">
        <v>177</v>
      </c>
      <c r="E113" s="506" t="s">
        <v>283</v>
      </c>
      <c r="F113" s="509" t="n">
        <v>5</v>
      </c>
      <c r="G113" s="509"/>
      <c r="H113" s="457"/>
      <c r="I113" s="510"/>
      <c r="J113" s="506" t="s">
        <v>467</v>
      </c>
    </row>
    <row r="114" customFormat="false" ht="9.75" hidden="false" customHeight="true" outlineLevel="0" collapsed="false">
      <c r="A114" s="506" t="str">
        <f aca="false">'12.lan'!D431</f>
        <v>ISL Iceland </v>
      </c>
      <c r="B114" s="506" t="s">
        <v>468</v>
      </c>
      <c r="C114" s="509" t="n">
        <v>1.09979988644301</v>
      </c>
      <c r="D114" s="506" t="s">
        <v>177</v>
      </c>
      <c r="E114" s="506" t="s">
        <v>289</v>
      </c>
      <c r="F114" s="509" t="n">
        <v>1</v>
      </c>
      <c r="G114" s="509"/>
      <c r="H114" s="457"/>
      <c r="J114" s="506" t="s">
        <v>469</v>
      </c>
    </row>
    <row r="115" customFormat="false" ht="9.75" hidden="false" customHeight="true" outlineLevel="0" collapsed="false">
      <c r="A115" s="506" t="str">
        <f aca="false">'12.lan'!D432</f>
        <v>ISR Israel </v>
      </c>
      <c r="B115" s="506" t="s">
        <v>470</v>
      </c>
      <c r="C115" s="509" t="n">
        <v>1.14889304611276</v>
      </c>
      <c r="D115" s="506" t="s">
        <v>177</v>
      </c>
      <c r="E115" s="506" t="s">
        <v>283</v>
      </c>
      <c r="F115" s="509" t="n">
        <v>2</v>
      </c>
      <c r="G115" s="509"/>
      <c r="H115" s="457"/>
      <c r="J115" s="506" t="s">
        <v>471</v>
      </c>
    </row>
    <row r="116" customFormat="false" ht="9.75" hidden="false" customHeight="true" outlineLevel="0" collapsed="false">
      <c r="A116" s="506" t="str">
        <f aca="false">'12.lan'!D433</f>
        <v>ITA Italy </v>
      </c>
      <c r="B116" s="506" t="s">
        <v>472</v>
      </c>
      <c r="C116" s="509" t="n">
        <v>1.18058804707867</v>
      </c>
      <c r="D116" s="506" t="s">
        <v>177</v>
      </c>
      <c r="E116" s="506" t="s">
        <v>289</v>
      </c>
      <c r="F116" s="509" t="n">
        <v>1</v>
      </c>
      <c r="G116" s="509"/>
      <c r="H116" s="457"/>
      <c r="J116" s="506" t="s">
        <v>473</v>
      </c>
    </row>
    <row r="117" customFormat="false" ht="9.75" hidden="false" customHeight="true" outlineLevel="0" collapsed="false">
      <c r="A117" s="506" t="str">
        <f aca="false">'12.lan'!D434</f>
        <v>JAM Jamaica </v>
      </c>
      <c r="B117" s="506" t="s">
        <v>474</v>
      </c>
      <c r="C117" s="509" t="n">
        <v>1.92093936900476</v>
      </c>
      <c r="D117" s="506" t="s">
        <v>177</v>
      </c>
      <c r="E117" s="506" t="s">
        <v>279</v>
      </c>
      <c r="F117" s="509" t="n">
        <v>2</v>
      </c>
      <c r="G117" s="509" t="s">
        <v>280</v>
      </c>
      <c r="H117" s="457"/>
      <c r="J117" s="506" t="s">
        <v>475</v>
      </c>
    </row>
    <row r="118" customFormat="false" ht="9.75" hidden="false" customHeight="true" outlineLevel="0" collapsed="false">
      <c r="A118" s="506" t="str">
        <f aca="false">'12.lan'!D435</f>
        <v>JOR Jordan </v>
      </c>
      <c r="B118" s="506" t="s">
        <v>476</v>
      </c>
      <c r="C118" s="509" t="n">
        <v>2.90163414252058</v>
      </c>
      <c r="D118" s="506" t="s">
        <v>177</v>
      </c>
      <c r="E118" s="506" t="s">
        <v>283</v>
      </c>
      <c r="F118" s="509" t="n">
        <v>3</v>
      </c>
      <c r="G118" s="509"/>
      <c r="H118" s="457"/>
      <c r="J118" s="506" t="s">
        <v>477</v>
      </c>
    </row>
    <row r="119" customFormat="false" ht="9.75" hidden="false" customHeight="true" outlineLevel="0" collapsed="false">
      <c r="A119" s="506" t="str">
        <f aca="false">'12.lan'!D436</f>
        <v>JPN Japan </v>
      </c>
      <c r="B119" s="506" t="s">
        <v>478</v>
      </c>
      <c r="C119" s="509" t="n">
        <v>0.874849436069055</v>
      </c>
      <c r="D119" s="506" t="s">
        <v>177</v>
      </c>
      <c r="E119" s="506" t="s">
        <v>283</v>
      </c>
      <c r="F119" s="509" t="n">
        <v>2</v>
      </c>
      <c r="G119" s="509"/>
      <c r="H119" s="457"/>
      <c r="J119" s="506" t="s">
        <v>479</v>
      </c>
    </row>
    <row r="120" customFormat="false" ht="9.75" hidden="false" customHeight="true" outlineLevel="0" collapsed="false">
      <c r="A120" s="506" t="str">
        <f aca="false">'12.lan'!D437</f>
        <v>KAZ Kazakhstan </v>
      </c>
      <c r="B120" s="506" t="s">
        <v>480</v>
      </c>
      <c r="C120" s="509" t="n">
        <v>2.49694516023884</v>
      </c>
      <c r="D120" s="506" t="s">
        <v>177</v>
      </c>
      <c r="E120" s="506" t="s">
        <v>283</v>
      </c>
      <c r="F120" s="509" t="n">
        <v>5</v>
      </c>
      <c r="G120" s="509" t="s">
        <v>280</v>
      </c>
      <c r="H120" s="457"/>
      <c r="J120" s="506" t="s">
        <v>481</v>
      </c>
    </row>
    <row r="121" customFormat="false" ht="9.75" hidden="false" customHeight="true" outlineLevel="0" collapsed="false">
      <c r="A121" s="506" t="str">
        <f aca="false">'12.lan'!D438</f>
        <v>KEN Kenya </v>
      </c>
      <c r="B121" s="506" t="s">
        <v>482</v>
      </c>
      <c r="C121" s="509" t="n">
        <v>2.88450313953267</v>
      </c>
      <c r="D121" s="506" t="s">
        <v>177</v>
      </c>
      <c r="E121" s="506" t="s">
        <v>286</v>
      </c>
      <c r="F121" s="509" t="n">
        <v>4</v>
      </c>
      <c r="G121" s="509"/>
      <c r="H121" s="457"/>
      <c r="J121" s="506" t="s">
        <v>483</v>
      </c>
    </row>
    <row r="122" customFormat="false" ht="9.75" hidden="false" customHeight="true" outlineLevel="0" collapsed="false">
      <c r="A122" s="506" t="str">
        <f aca="false">'12.lan'!D439</f>
        <v>KGZ Kyrgyzstan </v>
      </c>
      <c r="B122" s="506" t="s">
        <v>484</v>
      </c>
      <c r="C122" s="509" t="n">
        <v>3.57311837466336</v>
      </c>
      <c r="D122" s="506" t="s">
        <v>177</v>
      </c>
      <c r="E122" s="506" t="s">
        <v>283</v>
      </c>
      <c r="F122" s="509" t="n">
        <v>4.47</v>
      </c>
      <c r="G122" s="509" t="s">
        <v>280</v>
      </c>
      <c r="H122" s="457"/>
      <c r="J122" s="506" t="s">
        <v>485</v>
      </c>
    </row>
    <row r="123" customFormat="false" ht="9.75" hidden="false" customHeight="true" outlineLevel="0" collapsed="false">
      <c r="A123" s="506" t="str">
        <f aca="false">'12.lan'!D440</f>
        <v>KHM Cambodia </v>
      </c>
      <c r="B123" s="506" t="s">
        <v>486</v>
      </c>
      <c r="C123" s="509" t="n">
        <v>3.618843357773</v>
      </c>
      <c r="D123" s="506" t="s">
        <v>177</v>
      </c>
      <c r="E123" s="506" t="s">
        <v>283</v>
      </c>
      <c r="F123" s="509" t="n">
        <v>5</v>
      </c>
      <c r="G123" s="509"/>
      <c r="H123" s="457"/>
      <c r="J123" s="506" t="s">
        <v>487</v>
      </c>
    </row>
    <row r="124" customFormat="false" ht="9.75" hidden="false" customHeight="true" outlineLevel="0" collapsed="false">
      <c r="A124" s="506" t="str">
        <f aca="false">'12.lan'!D441</f>
        <v>KIR Kiribati </v>
      </c>
      <c r="B124" s="506" t="s">
        <v>488</v>
      </c>
      <c r="C124" s="509" t="n">
        <v>1.30165845967961</v>
      </c>
      <c r="D124" s="506" t="s">
        <v>177</v>
      </c>
      <c r="E124" s="506" t="s">
        <v>300</v>
      </c>
      <c r="F124" s="509" t="n">
        <v>4.05</v>
      </c>
      <c r="G124" s="509" t="s">
        <v>280</v>
      </c>
      <c r="H124" s="457"/>
      <c r="J124" s="506" t="s">
        <v>489</v>
      </c>
    </row>
    <row r="125" customFormat="false" ht="9.75" hidden="false" customHeight="true" outlineLevel="0" collapsed="false">
      <c r="A125" s="506" t="str">
        <f aca="false">'12.lan'!D442</f>
        <v>KNA Saint Kitts and Nevis </v>
      </c>
      <c r="B125" s="506" t="s">
        <v>490</v>
      </c>
      <c r="C125" s="509" t="n">
        <v>1.7829419212009</v>
      </c>
      <c r="D125" s="506" t="s">
        <v>177</v>
      </c>
      <c r="E125" s="506" t="s">
        <v>279</v>
      </c>
      <c r="F125" s="509" t="n">
        <v>3.52</v>
      </c>
      <c r="G125" s="509" t="s">
        <v>280</v>
      </c>
      <c r="H125" s="457"/>
      <c r="J125" s="506" t="s">
        <v>491</v>
      </c>
    </row>
    <row r="126" customFormat="false" ht="9.75" hidden="false" customHeight="true" outlineLevel="0" collapsed="false">
      <c r="A126" s="506" t="str">
        <f aca="false">'12.lan'!D443</f>
        <v>KOR Korea, Republic of </v>
      </c>
      <c r="B126" s="506" t="s">
        <v>492</v>
      </c>
      <c r="C126" s="509" t="n">
        <v>1.49883654502849</v>
      </c>
      <c r="D126" s="506" t="s">
        <v>177</v>
      </c>
      <c r="E126" s="506" t="s">
        <v>283</v>
      </c>
      <c r="F126" s="509" t="n">
        <v>5</v>
      </c>
      <c r="G126" s="509"/>
      <c r="H126" s="457"/>
      <c r="J126" s="506" t="s">
        <v>493</v>
      </c>
    </row>
    <row r="127" customFormat="false" ht="9.75" hidden="false" customHeight="true" outlineLevel="0" collapsed="false">
      <c r="A127" s="506" t="str">
        <f aca="false">'12.lan'!D444</f>
        <v>KWT Kuwait </v>
      </c>
      <c r="B127" s="506" t="s">
        <v>494</v>
      </c>
      <c r="C127" s="509" t="n">
        <v>2.20153645956369</v>
      </c>
      <c r="D127" s="506" t="s">
        <v>177</v>
      </c>
      <c r="E127" s="506" t="s">
        <v>283</v>
      </c>
      <c r="F127" s="509" t="n">
        <v>5</v>
      </c>
      <c r="G127" s="509" t="s">
        <v>280</v>
      </c>
      <c r="H127" s="457"/>
      <c r="J127" s="506" t="s">
        <v>495</v>
      </c>
    </row>
    <row r="128" customFormat="false" ht="9.75" hidden="false" customHeight="true" outlineLevel="0" collapsed="false">
      <c r="A128" s="506" t="str">
        <f aca="false">'12.lan'!D445</f>
        <v>LAO Lao People's Democratic Republic </v>
      </c>
      <c r="B128" s="506" t="s">
        <v>496</v>
      </c>
      <c r="C128" s="509" t="n">
        <v>4.16649643284694</v>
      </c>
      <c r="D128" s="506" t="s">
        <v>177</v>
      </c>
      <c r="E128" s="506" t="s">
        <v>283</v>
      </c>
      <c r="F128" s="509" t="n">
        <v>5</v>
      </c>
      <c r="G128" s="509" t="s">
        <v>280</v>
      </c>
      <c r="H128" s="457"/>
      <c r="J128" s="506" t="s">
        <v>497</v>
      </c>
    </row>
    <row r="129" customFormat="false" ht="9.75" hidden="false" customHeight="true" outlineLevel="0" collapsed="false">
      <c r="A129" s="506" t="str">
        <f aca="false">'12.lan'!D446</f>
        <v>LBN Lebanon </v>
      </c>
      <c r="B129" s="506" t="s">
        <v>498</v>
      </c>
      <c r="C129" s="509" t="n">
        <v>2.09305533885327</v>
      </c>
      <c r="D129" s="506" t="s">
        <v>177</v>
      </c>
      <c r="E129" s="506" t="s">
        <v>283</v>
      </c>
      <c r="F129" s="509" t="n">
        <v>4</v>
      </c>
      <c r="G129" s="509"/>
      <c r="H129" s="457"/>
      <c r="J129" s="506" t="s">
        <v>499</v>
      </c>
    </row>
    <row r="130" customFormat="false" ht="9.75" hidden="false" customHeight="true" outlineLevel="0" collapsed="false">
      <c r="A130" s="506" t="str">
        <f aca="false">'12.lan'!D447</f>
        <v>LBR Liberia </v>
      </c>
      <c r="B130" s="506" t="s">
        <v>500</v>
      </c>
      <c r="C130" s="509" t="n">
        <v>2.41769603819921</v>
      </c>
      <c r="D130" s="506" t="s">
        <v>177</v>
      </c>
      <c r="E130" s="506" t="s">
        <v>286</v>
      </c>
      <c r="F130" s="509" t="n">
        <v>3</v>
      </c>
      <c r="G130" s="509" t="s">
        <v>280</v>
      </c>
      <c r="H130" s="457"/>
      <c r="J130" s="506" t="s">
        <v>501</v>
      </c>
    </row>
    <row r="131" customFormat="false" ht="9.75" hidden="false" customHeight="true" outlineLevel="0" collapsed="false">
      <c r="A131" s="506" t="str">
        <f aca="false">'12.lan'!D448</f>
        <v>LBY Libya </v>
      </c>
      <c r="B131" s="506" t="s">
        <v>502</v>
      </c>
      <c r="C131" s="509" t="n">
        <v>2.75505386637709</v>
      </c>
      <c r="D131" s="506" t="s">
        <v>177</v>
      </c>
      <c r="E131" s="506" t="s">
        <v>286</v>
      </c>
      <c r="F131" s="509" t="n">
        <v>6</v>
      </c>
      <c r="G131" s="509"/>
      <c r="H131" s="457"/>
      <c r="J131" s="506" t="s">
        <v>503</v>
      </c>
    </row>
    <row r="132" customFormat="false" ht="9.75" hidden="false" customHeight="true" outlineLevel="0" collapsed="false">
      <c r="A132" s="506" t="str">
        <f aca="false">'12.lan'!D449</f>
        <v>LCA Saint Lucia </v>
      </c>
      <c r="B132" s="506" t="s">
        <v>504</v>
      </c>
      <c r="C132" s="509" t="n">
        <v>1.63593725708704</v>
      </c>
      <c r="D132" s="506" t="s">
        <v>177</v>
      </c>
      <c r="E132" s="506" t="s">
        <v>279</v>
      </c>
      <c r="F132" s="509" t="n">
        <v>3.52</v>
      </c>
      <c r="G132" s="509" t="s">
        <v>280</v>
      </c>
      <c r="H132" s="457"/>
      <c r="J132" s="506" t="s">
        <v>505</v>
      </c>
    </row>
    <row r="133" customFormat="false" ht="9.75" hidden="false" customHeight="true" outlineLevel="0" collapsed="false">
      <c r="A133" s="506" t="str">
        <f aca="false">'12.lan'!D450</f>
        <v>LIE Liechtenstein </v>
      </c>
      <c r="B133" s="506" t="s">
        <v>506</v>
      </c>
      <c r="C133" s="509" t="n">
        <v>1.03314026740667</v>
      </c>
      <c r="D133" s="506" t="s">
        <v>280</v>
      </c>
      <c r="E133" s="506" t="s">
        <v>289</v>
      </c>
      <c r="F133" s="509" t="n">
        <v>2.55</v>
      </c>
      <c r="G133" s="509" t="s">
        <v>280</v>
      </c>
      <c r="H133" s="457"/>
      <c r="J133" s="506" t="s">
        <v>507</v>
      </c>
    </row>
    <row r="134" customFormat="false" ht="9.75" hidden="false" customHeight="true" outlineLevel="0" collapsed="false">
      <c r="A134" s="506" t="str">
        <f aca="false">'12.lan'!D451</f>
        <v>LKA Sri Lanka </v>
      </c>
      <c r="B134" s="506" t="s">
        <v>508</v>
      </c>
      <c r="C134" s="509" t="n">
        <v>3.28427162595014</v>
      </c>
      <c r="D134" s="506" t="s">
        <v>177</v>
      </c>
      <c r="E134" s="506" t="s">
        <v>283</v>
      </c>
      <c r="F134" s="509" t="n">
        <v>4</v>
      </c>
      <c r="G134" s="509"/>
      <c r="J134" s="506" t="s">
        <v>509</v>
      </c>
    </row>
    <row r="135" customFormat="false" ht="9.75" hidden="false" customHeight="true" outlineLevel="0" collapsed="false">
      <c r="A135" s="506" t="str">
        <f aca="false">'12.lan'!D452</f>
        <v>LSO Lesotho </v>
      </c>
      <c r="B135" s="506" t="s">
        <v>510</v>
      </c>
      <c r="C135" s="509" t="n">
        <v>2.47811985555268</v>
      </c>
      <c r="D135" s="506" t="s">
        <v>177</v>
      </c>
      <c r="E135" s="506" t="s">
        <v>286</v>
      </c>
      <c r="F135" s="509" t="n">
        <v>3</v>
      </c>
      <c r="G135" s="509" t="s">
        <v>280</v>
      </c>
      <c r="J135" s="506" t="s">
        <v>511</v>
      </c>
    </row>
    <row r="136" customFormat="false" ht="9.75" hidden="false" customHeight="true" outlineLevel="0" collapsed="false">
      <c r="A136" s="506" t="str">
        <f aca="false">'12.lan'!D453</f>
        <v>LTU Lithuania </v>
      </c>
      <c r="B136" s="506" t="s">
        <v>512</v>
      </c>
      <c r="C136" s="509" t="n">
        <v>1.85143851546861</v>
      </c>
      <c r="D136" s="506" t="s">
        <v>177</v>
      </c>
      <c r="E136" s="506" t="s">
        <v>289</v>
      </c>
      <c r="F136" s="509" t="n">
        <v>2</v>
      </c>
      <c r="G136" s="509"/>
      <c r="J136" s="506" t="s">
        <v>513</v>
      </c>
    </row>
    <row r="137" customFormat="false" ht="12.75" hidden="false" customHeight="true" outlineLevel="0" collapsed="false">
      <c r="A137" s="506" t="str">
        <f aca="false">'12.lan'!D454</f>
        <v>LUX Luxembourg </v>
      </c>
      <c r="B137" s="506" t="s">
        <v>514</v>
      </c>
      <c r="C137" s="509" t="n">
        <v>0.971686636469735</v>
      </c>
      <c r="D137" s="506" t="s">
        <v>177</v>
      </c>
      <c r="E137" s="506" t="s">
        <v>289</v>
      </c>
      <c r="F137" s="509" t="n">
        <v>2.55</v>
      </c>
      <c r="G137" s="509" t="s">
        <v>280</v>
      </c>
      <c r="H137" s="511"/>
      <c r="I137" s="511"/>
      <c r="J137" s="506" t="s">
        <v>515</v>
      </c>
    </row>
    <row r="138" customFormat="false" ht="9.75" hidden="false" customHeight="true" outlineLevel="0" collapsed="false">
      <c r="A138" s="506" t="str">
        <f aca="false">'12.lan'!D455</f>
        <v>LVA Latvia </v>
      </c>
      <c r="B138" s="506" t="s">
        <v>516</v>
      </c>
      <c r="C138" s="509" t="n">
        <v>1.69674161653491</v>
      </c>
      <c r="D138" s="506" t="s">
        <v>177</v>
      </c>
      <c r="E138" s="506" t="s">
        <v>289</v>
      </c>
      <c r="F138" s="509" t="n">
        <v>2</v>
      </c>
      <c r="G138" s="509"/>
      <c r="H138" s="457"/>
      <c r="J138" s="506" t="s">
        <v>517</v>
      </c>
    </row>
    <row r="139" customFormat="false" ht="9.75" hidden="false" customHeight="true" outlineLevel="0" collapsed="false">
      <c r="A139" s="506" t="str">
        <f aca="false">'12.lan'!D456</f>
        <v>MAC Macao </v>
      </c>
      <c r="B139" s="506" t="s">
        <v>518</v>
      </c>
      <c r="C139" s="509" t="n">
        <v>1.42064266001028</v>
      </c>
      <c r="D139" s="506" t="s">
        <v>177</v>
      </c>
      <c r="E139" s="506" t="s">
        <v>283</v>
      </c>
      <c r="F139" s="509" t="n">
        <v>4.47</v>
      </c>
      <c r="G139" s="509" t="s">
        <v>280</v>
      </c>
      <c r="H139" s="457"/>
      <c r="J139" s="506" t="s">
        <v>519</v>
      </c>
    </row>
    <row r="140" customFormat="false" ht="9.75" hidden="false" customHeight="true" outlineLevel="0" collapsed="false">
      <c r="A140" s="506" t="str">
        <f aca="false">'12.lan'!D457</f>
        <v>MAF Saint Martin (French part) </v>
      </c>
      <c r="B140" s="506" t="s">
        <v>520</v>
      </c>
      <c r="C140" s="509" t="n">
        <v>1.00304566871495</v>
      </c>
      <c r="D140" s="506" t="s">
        <v>280</v>
      </c>
      <c r="E140" s="506" t="s">
        <v>279</v>
      </c>
      <c r="F140" s="509" t="n">
        <v>3.52</v>
      </c>
      <c r="G140" s="509" t="s">
        <v>280</v>
      </c>
      <c r="H140" s="457"/>
      <c r="J140" s="506" t="s">
        <v>521</v>
      </c>
    </row>
    <row r="141" customFormat="false" ht="9.75" hidden="false" customHeight="true" outlineLevel="0" collapsed="false">
      <c r="A141" s="506" t="str">
        <f aca="false">'12.lan'!D458</f>
        <v>MAR Morocco </v>
      </c>
      <c r="B141" s="506" t="s">
        <v>522</v>
      </c>
      <c r="C141" s="509" t="n">
        <v>2.67261750909284</v>
      </c>
      <c r="D141" s="506" t="s">
        <v>177</v>
      </c>
      <c r="E141" s="506" t="s">
        <v>286</v>
      </c>
      <c r="F141" s="509" t="n">
        <v>3</v>
      </c>
      <c r="G141" s="509"/>
      <c r="H141" s="457"/>
      <c r="J141" s="506" t="s">
        <v>523</v>
      </c>
    </row>
    <row r="142" customFormat="false" ht="9.75" hidden="false" customHeight="true" outlineLevel="0" collapsed="false">
      <c r="A142" s="506" t="str">
        <f aca="false">'12.lan'!D459</f>
        <v>MCO Monaco </v>
      </c>
      <c r="B142" s="506" t="s">
        <v>524</v>
      </c>
      <c r="C142" s="509" t="n">
        <v>1.03314026740667</v>
      </c>
      <c r="D142" s="506" t="s">
        <v>280</v>
      </c>
      <c r="E142" s="506" t="s">
        <v>289</v>
      </c>
      <c r="F142" s="509" t="n">
        <v>2.55</v>
      </c>
      <c r="G142" s="509" t="s">
        <v>280</v>
      </c>
      <c r="H142" s="457"/>
      <c r="J142" s="506" t="s">
        <v>525</v>
      </c>
    </row>
    <row r="143" customFormat="false" ht="9.75" hidden="false" customHeight="true" outlineLevel="0" collapsed="false">
      <c r="A143" s="506" t="str">
        <f aca="false">'12.lan'!D460</f>
        <v>MDA Moldova, Republic of </v>
      </c>
      <c r="B143" s="506" t="s">
        <v>526</v>
      </c>
      <c r="C143" s="509" t="n">
        <v>2.25315726743438</v>
      </c>
      <c r="D143" s="506" t="s">
        <v>177</v>
      </c>
      <c r="E143" s="506" t="s">
        <v>289</v>
      </c>
      <c r="F143" s="509" t="n">
        <v>2</v>
      </c>
      <c r="G143" s="509" t="s">
        <v>280</v>
      </c>
      <c r="H143" s="457"/>
      <c r="J143" s="506" t="s">
        <v>527</v>
      </c>
    </row>
    <row r="144" customFormat="false" ht="9.75" hidden="false" customHeight="true" outlineLevel="0" collapsed="false">
      <c r="A144" s="506" t="str">
        <f aca="false">'12.lan'!D461</f>
        <v>MDG Madagascar </v>
      </c>
      <c r="B144" s="506" t="s">
        <v>528</v>
      </c>
      <c r="C144" s="509" t="n">
        <v>3.58543328949212</v>
      </c>
      <c r="D144" s="506" t="s">
        <v>177</v>
      </c>
      <c r="E144" s="506" t="s">
        <v>286</v>
      </c>
      <c r="F144" s="509" t="n">
        <v>3</v>
      </c>
      <c r="G144" s="509" t="s">
        <v>280</v>
      </c>
      <c r="H144" s="457"/>
      <c r="J144" s="506" t="s">
        <v>529</v>
      </c>
    </row>
    <row r="145" customFormat="false" ht="9.75" hidden="false" customHeight="true" outlineLevel="0" collapsed="false">
      <c r="A145" s="506" t="str">
        <f aca="false">'12.lan'!D462</f>
        <v>MDV Maldives </v>
      </c>
      <c r="B145" s="506" t="s">
        <v>530</v>
      </c>
      <c r="C145" s="509" t="n">
        <v>1.48178216180297</v>
      </c>
      <c r="D145" s="506" t="s">
        <v>177</v>
      </c>
      <c r="E145" s="506" t="s">
        <v>283</v>
      </c>
      <c r="F145" s="509" t="n">
        <v>4.47</v>
      </c>
      <c r="G145" s="509" t="s">
        <v>280</v>
      </c>
      <c r="H145" s="457"/>
      <c r="J145" s="506" t="s">
        <v>531</v>
      </c>
    </row>
    <row r="146" customFormat="false" ht="9.75" hidden="false" customHeight="true" outlineLevel="0" collapsed="false">
      <c r="A146" s="506" t="str">
        <f aca="false">'12.lan'!D463</f>
        <v>MEX Mexico </v>
      </c>
      <c r="B146" s="506" t="s">
        <v>532</v>
      </c>
      <c r="C146" s="509" t="n">
        <v>2.05145616578543</v>
      </c>
      <c r="D146" s="506" t="s">
        <v>177</v>
      </c>
      <c r="E146" s="506" t="s">
        <v>279</v>
      </c>
      <c r="F146" s="509" t="n">
        <v>4</v>
      </c>
      <c r="G146" s="509"/>
      <c r="H146" s="457"/>
      <c r="J146" s="506" t="s">
        <v>533</v>
      </c>
    </row>
    <row r="147" customFormat="false" ht="9.75" hidden="false" customHeight="true" outlineLevel="0" collapsed="false">
      <c r="A147" s="506" t="str">
        <f aca="false">'12.lan'!D464</f>
        <v>MHL Marshall Islands </v>
      </c>
      <c r="B147" s="506" t="s">
        <v>534</v>
      </c>
      <c r="C147" s="509" t="n">
        <v>1.05302676594396</v>
      </c>
      <c r="D147" s="506" t="s">
        <v>177</v>
      </c>
      <c r="E147" s="506" t="s">
        <v>300</v>
      </c>
      <c r="F147" s="509" t="n">
        <v>4.05</v>
      </c>
      <c r="G147" s="509" t="s">
        <v>280</v>
      </c>
      <c r="H147" s="457"/>
      <c r="J147" s="506" t="s">
        <v>535</v>
      </c>
    </row>
    <row r="148" customFormat="false" ht="9.75" hidden="false" customHeight="true" outlineLevel="0" collapsed="false">
      <c r="A148" s="506" t="str">
        <f aca="false">'12.lan'!D465</f>
        <v>MKD Macedonia, The Former Yugoslav Republic of </v>
      </c>
      <c r="B148" s="506" t="s">
        <v>536</v>
      </c>
      <c r="C148" s="509" t="n">
        <v>2.68892468375959</v>
      </c>
      <c r="D148" s="506" t="s">
        <v>177</v>
      </c>
      <c r="E148" s="506" t="s">
        <v>289</v>
      </c>
      <c r="F148" s="509" t="n">
        <v>4</v>
      </c>
      <c r="G148" s="509" t="s">
        <v>280</v>
      </c>
      <c r="H148" s="457"/>
      <c r="J148" s="506" t="s">
        <v>537</v>
      </c>
    </row>
    <row r="149" customFormat="false" ht="9.75" hidden="false" customHeight="true" outlineLevel="0" collapsed="false">
      <c r="A149" s="506" t="str">
        <f aca="false">'12.lan'!D466</f>
        <v>MLI Mali </v>
      </c>
      <c r="B149" s="506" t="s">
        <v>538</v>
      </c>
      <c r="C149" s="509" t="n">
        <v>2.57503438687046</v>
      </c>
      <c r="D149" s="506" t="s">
        <v>177</v>
      </c>
      <c r="E149" s="506" t="s">
        <v>286</v>
      </c>
      <c r="F149" s="509" t="n">
        <v>4</v>
      </c>
      <c r="G149" s="509" t="s">
        <v>280</v>
      </c>
      <c r="H149" s="457"/>
      <c r="J149" s="506" t="s">
        <v>539</v>
      </c>
    </row>
    <row r="150" customFormat="false" ht="9.75" hidden="false" customHeight="true" outlineLevel="0" collapsed="false">
      <c r="A150" s="506" t="str">
        <f aca="false">'12.lan'!D467</f>
        <v>MLT Malta </v>
      </c>
      <c r="B150" s="506" t="s">
        <v>540</v>
      </c>
      <c r="C150" s="509" t="n">
        <v>1.41473510043781</v>
      </c>
      <c r="D150" s="506" t="s">
        <v>177</v>
      </c>
      <c r="E150" s="506" t="s">
        <v>289</v>
      </c>
      <c r="F150" s="509" t="n">
        <v>2.55</v>
      </c>
      <c r="G150" s="509" t="s">
        <v>280</v>
      </c>
      <c r="H150" s="457"/>
      <c r="J150" s="506" t="s">
        <v>541</v>
      </c>
    </row>
    <row r="151" customFormat="false" ht="9.75" hidden="false" customHeight="true" outlineLevel="0" collapsed="false">
      <c r="A151" s="506" t="str">
        <f aca="false">'12.lan'!D468</f>
        <v>MMR Myanmar </v>
      </c>
      <c r="B151" s="506" t="s">
        <v>542</v>
      </c>
      <c r="C151" s="509" t="n">
        <v>5.03338280567596</v>
      </c>
      <c r="D151" s="506" t="s">
        <v>177</v>
      </c>
      <c r="E151" s="506" t="s">
        <v>283</v>
      </c>
      <c r="F151" s="509" t="n">
        <v>4</v>
      </c>
      <c r="G151" s="509"/>
      <c r="H151" s="457"/>
      <c r="J151" s="506" t="s">
        <v>543</v>
      </c>
    </row>
    <row r="152" customFormat="false" ht="9.75" hidden="false" customHeight="true" outlineLevel="0" collapsed="false">
      <c r="A152" s="506" t="str">
        <f aca="false">'12.lan'!D469</f>
        <v>MNE Montenegro </v>
      </c>
      <c r="B152" s="506" t="s">
        <v>544</v>
      </c>
      <c r="C152" s="509" t="n">
        <v>2.33937498344094</v>
      </c>
      <c r="D152" s="506" t="s">
        <v>177</v>
      </c>
      <c r="E152" s="506" t="s">
        <v>289</v>
      </c>
      <c r="F152" s="509" t="n">
        <v>2</v>
      </c>
      <c r="G152" s="509" t="s">
        <v>280</v>
      </c>
      <c r="H152" s="457"/>
      <c r="J152" s="506" t="s">
        <v>545</v>
      </c>
    </row>
    <row r="153" customFormat="false" ht="9.75" hidden="false" customHeight="true" outlineLevel="0" collapsed="false">
      <c r="A153" s="506" t="str">
        <f aca="false">'12.lan'!D470</f>
        <v>MNG Mongolia </v>
      </c>
      <c r="B153" s="506" t="s">
        <v>546</v>
      </c>
      <c r="C153" s="509" t="n">
        <v>3.34808361915383</v>
      </c>
      <c r="D153" s="506" t="s">
        <v>177</v>
      </c>
      <c r="E153" s="506" t="s">
        <v>283</v>
      </c>
      <c r="F153" s="509" t="n">
        <v>4.47</v>
      </c>
      <c r="G153" s="509" t="s">
        <v>280</v>
      </c>
      <c r="H153" s="457"/>
      <c r="J153" s="506" t="s">
        <v>547</v>
      </c>
    </row>
    <row r="154" customFormat="false" ht="9.75" hidden="false" customHeight="true" outlineLevel="0" collapsed="false">
      <c r="A154" s="506" t="str">
        <f aca="false">'12.lan'!D471</f>
        <v>MNP Northern Mariana Islands </v>
      </c>
      <c r="B154" s="506" t="s">
        <v>548</v>
      </c>
      <c r="C154" s="509" t="n">
        <v>1.49858687129258</v>
      </c>
      <c r="D154" s="506" t="s">
        <v>280</v>
      </c>
      <c r="E154" s="506" t="s">
        <v>300</v>
      </c>
      <c r="F154" s="509" t="n">
        <v>4.05</v>
      </c>
      <c r="G154" s="509" t="s">
        <v>280</v>
      </c>
      <c r="H154" s="457"/>
      <c r="J154" s="506" t="s">
        <v>549</v>
      </c>
    </row>
    <row r="155" customFormat="false" ht="9.75" hidden="false" customHeight="true" outlineLevel="0" collapsed="false">
      <c r="A155" s="506" t="str">
        <f aca="false">'12.lan'!D472</f>
        <v>MOZ Mozambique </v>
      </c>
      <c r="B155" s="506" t="s">
        <v>550</v>
      </c>
      <c r="C155" s="509" t="n">
        <v>2.92549812679193</v>
      </c>
      <c r="D155" s="506" t="s">
        <v>177</v>
      </c>
      <c r="E155" s="506" t="s">
        <v>286</v>
      </c>
      <c r="F155" s="509" t="n">
        <v>3</v>
      </c>
      <c r="G155" s="509"/>
      <c r="H155" s="457"/>
      <c r="J155" s="506" t="s">
        <v>551</v>
      </c>
    </row>
    <row r="156" customFormat="false" ht="9.75" hidden="false" customHeight="true" outlineLevel="0" collapsed="false">
      <c r="A156" s="506" t="str">
        <f aca="false">'12.lan'!D473</f>
        <v>MRT Mauritania </v>
      </c>
      <c r="B156" s="506" t="s">
        <v>552</v>
      </c>
      <c r="C156" s="509" t="n">
        <v>3.49162557138053</v>
      </c>
      <c r="D156" s="506" t="s">
        <v>177</v>
      </c>
      <c r="E156" s="506" t="s">
        <v>286</v>
      </c>
      <c r="F156" s="509" t="n">
        <v>4</v>
      </c>
      <c r="G156" s="509" t="s">
        <v>280</v>
      </c>
      <c r="H156" s="457"/>
      <c r="J156" s="506" t="s">
        <v>553</v>
      </c>
    </row>
    <row r="157" customFormat="false" ht="9.75" hidden="false" customHeight="true" outlineLevel="0" collapsed="false">
      <c r="A157" s="506" t="str">
        <f aca="false">'12.lan'!D474</f>
        <v>MUS Mauritius </v>
      </c>
      <c r="B157" s="506" t="s">
        <v>554</v>
      </c>
      <c r="C157" s="509" t="n">
        <v>2.11332345722178</v>
      </c>
      <c r="D157" s="506" t="s">
        <v>177</v>
      </c>
      <c r="E157" s="506" t="s">
        <v>286</v>
      </c>
      <c r="F157" s="509" t="n">
        <v>3</v>
      </c>
      <c r="G157" s="509" t="s">
        <v>280</v>
      </c>
      <c r="H157" s="457"/>
      <c r="J157" s="506" t="s">
        <v>555</v>
      </c>
    </row>
    <row r="158" customFormat="false" ht="9.75" hidden="false" customHeight="true" outlineLevel="0" collapsed="false">
      <c r="A158" s="506" t="str">
        <f aca="false">'12.lan'!D475</f>
        <v>MWI Malawi </v>
      </c>
      <c r="B158" s="506" t="s">
        <v>556</v>
      </c>
      <c r="C158" s="509" t="n">
        <v>3.36672361772536</v>
      </c>
      <c r="D158" s="506" t="s">
        <v>177</v>
      </c>
      <c r="E158" s="506" t="s">
        <v>286</v>
      </c>
      <c r="F158" s="509" t="n">
        <v>2</v>
      </c>
      <c r="G158" s="509" t="s">
        <v>280</v>
      </c>
      <c r="H158" s="457"/>
      <c r="J158" s="506" t="s">
        <v>557</v>
      </c>
    </row>
    <row r="159" customFormat="false" ht="9.75" hidden="false" customHeight="true" outlineLevel="0" collapsed="false">
      <c r="A159" s="506" t="str">
        <f aca="false">'12.lan'!D476</f>
        <v>MYS Malaysia </v>
      </c>
      <c r="B159" s="506" t="s">
        <v>558</v>
      </c>
      <c r="C159" s="509" t="n">
        <v>2.79446955409586</v>
      </c>
      <c r="D159" s="506" t="s">
        <v>177</v>
      </c>
      <c r="E159" s="506" t="s">
        <v>283</v>
      </c>
      <c r="F159" s="509" t="n">
        <v>4</v>
      </c>
      <c r="G159" s="509"/>
      <c r="H159" s="457"/>
      <c r="J159" s="506" t="s">
        <v>559</v>
      </c>
    </row>
    <row r="160" customFormat="false" ht="9.75" hidden="false" customHeight="true" outlineLevel="0" collapsed="false">
      <c r="A160" s="506" t="str">
        <f aca="false">'12.lan'!D477</f>
        <v>NAM Namibia </v>
      </c>
      <c r="B160" s="506" t="s">
        <v>560</v>
      </c>
      <c r="C160" s="509" t="n">
        <v>1.87168719422053</v>
      </c>
      <c r="D160" s="506" t="s">
        <v>177</v>
      </c>
      <c r="E160" s="506" t="s">
        <v>286</v>
      </c>
      <c r="F160" s="509" t="n">
        <v>3</v>
      </c>
      <c r="G160" s="509"/>
      <c r="H160" s="457"/>
      <c r="J160" s="506" t="s">
        <v>561</v>
      </c>
    </row>
    <row r="161" customFormat="false" ht="9.75" hidden="false" customHeight="true" outlineLevel="0" collapsed="false">
      <c r="A161" s="506" t="str">
        <f aca="false">'12.lan'!D478</f>
        <v>NCL New Caledonia </v>
      </c>
      <c r="B161" s="506" t="s">
        <v>562</v>
      </c>
      <c r="C161" s="509" t="n">
        <v>1.49858687129258</v>
      </c>
      <c r="D161" s="506" t="s">
        <v>280</v>
      </c>
      <c r="E161" s="506" t="s">
        <v>300</v>
      </c>
      <c r="F161" s="509" t="n">
        <v>4.05</v>
      </c>
      <c r="G161" s="509" t="s">
        <v>280</v>
      </c>
      <c r="H161" s="457"/>
      <c r="J161" s="506" t="s">
        <v>563</v>
      </c>
    </row>
    <row r="162" customFormat="false" ht="9.75" hidden="false" customHeight="true" outlineLevel="0" collapsed="false">
      <c r="A162" s="506" t="str">
        <f aca="false">'12.lan'!D479</f>
        <v>NER Niger </v>
      </c>
      <c r="B162" s="506" t="s">
        <v>564</v>
      </c>
      <c r="C162" s="509" t="n">
        <v>2.56877399237927</v>
      </c>
      <c r="D162" s="506" t="s">
        <v>177</v>
      </c>
      <c r="E162" s="506" t="s">
        <v>286</v>
      </c>
      <c r="F162" s="509" t="n">
        <v>3.79</v>
      </c>
      <c r="G162" s="509" t="s">
        <v>280</v>
      </c>
      <c r="H162" s="457"/>
      <c r="J162" s="506" t="s">
        <v>565</v>
      </c>
    </row>
    <row r="163" customFormat="false" ht="9.75" hidden="false" customHeight="true" outlineLevel="0" collapsed="false">
      <c r="A163" s="506" t="str">
        <f aca="false">'12.lan'!D480</f>
        <v>NGA Nigeria </v>
      </c>
      <c r="B163" s="506" t="s">
        <v>566</v>
      </c>
      <c r="C163" s="509" t="n">
        <v>2.95380321903588</v>
      </c>
      <c r="D163" s="506" t="s">
        <v>177</v>
      </c>
      <c r="E163" s="506" t="s">
        <v>286</v>
      </c>
      <c r="F163" s="509" t="n">
        <v>4</v>
      </c>
      <c r="G163" s="509"/>
      <c r="H163" s="457"/>
      <c r="J163" s="506" t="s">
        <v>567</v>
      </c>
    </row>
    <row r="164" customFormat="false" ht="9.75" hidden="false" customHeight="true" outlineLevel="0" collapsed="false">
      <c r="A164" s="506" t="str">
        <f aca="false">'12.lan'!D481</f>
        <v>NIC Nicaragua </v>
      </c>
      <c r="B164" s="506" t="s">
        <v>568</v>
      </c>
      <c r="C164" s="509" t="n">
        <v>2.72737215620373</v>
      </c>
      <c r="D164" s="506" t="s">
        <v>177</v>
      </c>
      <c r="E164" s="506" t="s">
        <v>279</v>
      </c>
      <c r="F164" s="509" t="n">
        <v>3.52</v>
      </c>
      <c r="G164" s="509" t="s">
        <v>280</v>
      </c>
      <c r="H164" s="457"/>
      <c r="J164" s="506" t="s">
        <v>569</v>
      </c>
    </row>
    <row r="165" customFormat="false" ht="9.75" hidden="false" customHeight="true" outlineLevel="0" collapsed="false">
      <c r="A165" s="506" t="str">
        <f aca="false">'12.lan'!D482</f>
        <v>NLD Netherlands </v>
      </c>
      <c r="B165" s="506" t="s">
        <v>570</v>
      </c>
      <c r="C165" s="509" t="n">
        <v>1.06232796908283</v>
      </c>
      <c r="D165" s="506" t="s">
        <v>177</v>
      </c>
      <c r="E165" s="506" t="s">
        <v>289</v>
      </c>
      <c r="F165" s="509" t="n">
        <v>1</v>
      </c>
      <c r="G165" s="509"/>
      <c r="H165" s="457"/>
      <c r="J165" s="506" t="s">
        <v>571</v>
      </c>
    </row>
    <row r="166" customFormat="false" ht="9.75" hidden="false" customHeight="true" outlineLevel="0" collapsed="false">
      <c r="A166" s="506" t="str">
        <f aca="false">'12.lan'!D483</f>
        <v>NOR Norway </v>
      </c>
      <c r="B166" s="506" t="s">
        <v>572</v>
      </c>
      <c r="C166" s="509" t="n">
        <v>0.801870179165357</v>
      </c>
      <c r="D166" s="506" t="s">
        <v>177</v>
      </c>
      <c r="E166" s="506" t="s">
        <v>289</v>
      </c>
      <c r="F166" s="509" t="n">
        <v>1</v>
      </c>
      <c r="G166" s="509"/>
      <c r="H166" s="457"/>
      <c r="J166" s="506" t="s">
        <v>573</v>
      </c>
    </row>
    <row r="167" customFormat="false" ht="9.75" hidden="false" customHeight="true" outlineLevel="0" collapsed="false">
      <c r="A167" s="506" t="str">
        <f aca="false">'12.lan'!D484</f>
        <v>NPL Nepal </v>
      </c>
      <c r="B167" s="506" t="s">
        <v>574</v>
      </c>
      <c r="C167" s="509" t="n">
        <v>2.98821859576289</v>
      </c>
      <c r="D167" s="506" t="s">
        <v>177</v>
      </c>
      <c r="E167" s="506" t="s">
        <v>283</v>
      </c>
      <c r="F167" s="509" t="n">
        <v>3</v>
      </c>
      <c r="G167" s="509"/>
      <c r="H167" s="457"/>
      <c r="J167" s="506" t="s">
        <v>575</v>
      </c>
    </row>
    <row r="168" customFormat="false" ht="9.75" hidden="false" customHeight="true" outlineLevel="0" collapsed="false">
      <c r="A168" s="506" t="str">
        <f aca="false">'12.lan'!D485</f>
        <v>NRU Nauru </v>
      </c>
      <c r="B168" s="506" t="s">
        <v>576</v>
      </c>
      <c r="C168" s="509" t="n">
        <v>1.6689691083596</v>
      </c>
      <c r="D168" s="506" t="s">
        <v>177</v>
      </c>
      <c r="E168" s="506" t="s">
        <v>300</v>
      </c>
      <c r="F168" s="509" t="n">
        <v>4.05</v>
      </c>
      <c r="G168" s="509" t="s">
        <v>280</v>
      </c>
      <c r="H168" s="457"/>
      <c r="J168" s="506" t="s">
        <v>577</v>
      </c>
    </row>
    <row r="169" customFormat="false" ht="9.75" hidden="false" customHeight="true" outlineLevel="0" collapsed="false">
      <c r="A169" s="506" t="str">
        <f aca="false">'12.lan'!D486</f>
        <v>NZL New Zealand </v>
      </c>
      <c r="B169" s="506" t="s">
        <v>578</v>
      </c>
      <c r="C169" s="509" t="n">
        <v>0.977592004614039</v>
      </c>
      <c r="D169" s="506" t="s">
        <v>177</v>
      </c>
      <c r="E169" s="506" t="s">
        <v>300</v>
      </c>
      <c r="F169" s="509" t="n">
        <v>2</v>
      </c>
      <c r="G169" s="509" t="s">
        <v>280</v>
      </c>
      <c r="H169" s="457"/>
      <c r="J169" s="506" t="s">
        <v>579</v>
      </c>
    </row>
    <row r="170" customFormat="false" ht="9.75" hidden="false" customHeight="true" outlineLevel="0" collapsed="false">
      <c r="A170" s="506" t="str">
        <f aca="false">'12.lan'!D487</f>
        <v>OMN Oman </v>
      </c>
      <c r="B170" s="506" t="s">
        <v>580</v>
      </c>
      <c r="C170" s="509" t="n">
        <v>2.55007818491257</v>
      </c>
      <c r="D170" s="506" t="s">
        <v>177</v>
      </c>
      <c r="E170" s="506" t="s">
        <v>283</v>
      </c>
      <c r="F170" s="509" t="n">
        <v>4</v>
      </c>
      <c r="G170" s="509"/>
      <c r="H170" s="457"/>
      <c r="J170" s="506" t="s">
        <v>581</v>
      </c>
    </row>
    <row r="171" customFormat="false" ht="9.75" hidden="false" customHeight="true" outlineLevel="0" collapsed="false">
      <c r="A171" s="506" t="str">
        <f aca="false">'12.lan'!D488</f>
        <v>PAK Pakistan </v>
      </c>
      <c r="B171" s="506" t="s">
        <v>582</v>
      </c>
      <c r="C171" s="509" t="n">
        <v>3.75542640637985</v>
      </c>
      <c r="D171" s="506" t="s">
        <v>177</v>
      </c>
      <c r="E171" s="506" t="s">
        <v>283</v>
      </c>
      <c r="F171" s="509" t="n">
        <v>4</v>
      </c>
      <c r="G171" s="509"/>
      <c r="H171" s="457"/>
      <c r="J171" s="506" t="s">
        <v>583</v>
      </c>
    </row>
    <row r="172" customFormat="false" ht="9.75" hidden="false" customHeight="true" outlineLevel="0" collapsed="false">
      <c r="A172" s="506" t="str">
        <f aca="false">'12.lan'!D489</f>
        <v>PAN Panama </v>
      </c>
      <c r="B172" s="506" t="s">
        <v>584</v>
      </c>
      <c r="C172" s="509" t="n">
        <v>1.64067914480798</v>
      </c>
      <c r="D172" s="506" t="s">
        <v>177</v>
      </c>
      <c r="E172" s="506" t="s">
        <v>279</v>
      </c>
      <c r="F172" s="509" t="n">
        <v>4</v>
      </c>
      <c r="G172" s="509"/>
      <c r="H172" s="457"/>
      <c r="J172" s="506" t="s">
        <v>585</v>
      </c>
    </row>
    <row r="173" customFormat="false" ht="9.75" hidden="false" customHeight="true" outlineLevel="0" collapsed="false">
      <c r="A173" s="506" t="str">
        <f aca="false">'12.lan'!D490</f>
        <v>PER Peru </v>
      </c>
      <c r="B173" s="506" t="s">
        <v>586</v>
      </c>
      <c r="C173" s="509" t="n">
        <v>2.07716190378341</v>
      </c>
      <c r="D173" s="506" t="s">
        <v>177</v>
      </c>
      <c r="E173" s="506" t="s">
        <v>279</v>
      </c>
      <c r="F173" s="509" t="n">
        <v>4</v>
      </c>
      <c r="G173" s="509"/>
      <c r="H173" s="457"/>
      <c r="J173" s="506" t="s">
        <v>587</v>
      </c>
    </row>
    <row r="174" customFormat="false" ht="9.75" hidden="false" customHeight="true" outlineLevel="0" collapsed="false">
      <c r="A174" s="506" t="str">
        <f aca="false">'12.lan'!D491</f>
        <v>PHL Philippines </v>
      </c>
      <c r="B174" s="506" t="s">
        <v>588</v>
      </c>
      <c r="C174" s="509" t="n">
        <v>2.8849218750079</v>
      </c>
      <c r="D174" s="506" t="s">
        <v>177</v>
      </c>
      <c r="E174" s="506" t="s">
        <v>283</v>
      </c>
      <c r="F174" s="509" t="n">
        <v>5</v>
      </c>
      <c r="G174" s="509"/>
      <c r="H174" s="457"/>
      <c r="J174" s="506" t="s">
        <v>589</v>
      </c>
    </row>
    <row r="175" customFormat="false" ht="9.75" hidden="false" customHeight="true" outlineLevel="0" collapsed="false">
      <c r="A175" s="506" t="str">
        <f aca="false">'12.lan'!D492</f>
        <v>PLW Palau </v>
      </c>
      <c r="B175" s="506" t="s">
        <v>590</v>
      </c>
      <c r="C175" s="509" t="n">
        <v>1.16714219795955</v>
      </c>
      <c r="D175" s="506" t="s">
        <v>177</v>
      </c>
      <c r="E175" s="506" t="s">
        <v>300</v>
      </c>
      <c r="F175" s="509" t="n">
        <v>4.05</v>
      </c>
      <c r="G175" s="509" t="s">
        <v>280</v>
      </c>
      <c r="H175" s="457"/>
      <c r="J175" s="506" t="s">
        <v>591</v>
      </c>
    </row>
    <row r="176" customFormat="false" ht="9.75" hidden="false" customHeight="true" outlineLevel="0" collapsed="false">
      <c r="A176" s="506" t="str">
        <f aca="false">'12.lan'!D493</f>
        <v>PNG Papua New Guinea </v>
      </c>
      <c r="B176" s="506" t="s">
        <v>592</v>
      </c>
      <c r="C176" s="509" t="n">
        <v>1.58820813865067</v>
      </c>
      <c r="D176" s="506" t="s">
        <v>177</v>
      </c>
      <c r="E176" s="506" t="s">
        <v>300</v>
      </c>
      <c r="F176" s="509" t="n">
        <v>4.05</v>
      </c>
      <c r="G176" s="509" t="s">
        <v>280</v>
      </c>
      <c r="H176" s="457"/>
      <c r="J176" s="506" t="s">
        <v>593</v>
      </c>
    </row>
    <row r="177" customFormat="false" ht="9.75" hidden="false" customHeight="true" outlineLevel="0" collapsed="false">
      <c r="A177" s="506" t="str">
        <f aca="false">'12.lan'!D494</f>
        <v>POL Poland </v>
      </c>
      <c r="B177" s="506" t="s">
        <v>594</v>
      </c>
      <c r="C177" s="509" t="n">
        <v>2.03208508009455</v>
      </c>
      <c r="D177" s="506" t="s">
        <v>177</v>
      </c>
      <c r="E177" s="506" t="s">
        <v>289</v>
      </c>
      <c r="F177" s="509" t="n">
        <v>3</v>
      </c>
      <c r="G177" s="509"/>
      <c r="H177" s="457"/>
      <c r="J177" s="506" t="s">
        <v>595</v>
      </c>
    </row>
    <row r="178" customFormat="false" ht="9.75" hidden="false" customHeight="true" outlineLevel="0" collapsed="false">
      <c r="A178" s="506" t="str">
        <f aca="false">'12.lan'!D495</f>
        <v>PRI Puerto Rico </v>
      </c>
      <c r="B178" s="506" t="s">
        <v>596</v>
      </c>
      <c r="C178" s="509" t="n">
        <v>1.24925443116417</v>
      </c>
      <c r="D178" s="506" t="s">
        <v>177</v>
      </c>
      <c r="E178" s="506" t="s">
        <v>279</v>
      </c>
      <c r="F178" s="509" t="n">
        <v>3.52</v>
      </c>
      <c r="G178" s="509" t="s">
        <v>280</v>
      </c>
      <c r="H178" s="457"/>
      <c r="J178" s="506" t="s">
        <v>597</v>
      </c>
    </row>
    <row r="179" customFormat="false" ht="9.75" hidden="false" customHeight="true" outlineLevel="0" collapsed="false">
      <c r="A179" s="506" t="str">
        <f aca="false">'12.lan'!D496</f>
        <v>PRK Korea, Democratic People's Republic of </v>
      </c>
      <c r="B179" s="506" t="s">
        <v>598</v>
      </c>
      <c r="C179" s="509" t="n">
        <v>3.72318750786458</v>
      </c>
      <c r="D179" s="506" t="s">
        <v>280</v>
      </c>
      <c r="E179" s="506" t="s">
        <v>283</v>
      </c>
      <c r="F179" s="509" t="n">
        <v>4.47</v>
      </c>
      <c r="G179" s="509" t="s">
        <v>280</v>
      </c>
      <c r="H179" s="457"/>
      <c r="J179" s="506" t="s">
        <v>599</v>
      </c>
    </row>
    <row r="180" customFormat="false" ht="9.75" hidden="false" customHeight="true" outlineLevel="0" collapsed="false">
      <c r="A180" s="506" t="str">
        <f aca="false">'12.lan'!D497</f>
        <v>PRT Portugal </v>
      </c>
      <c r="B180" s="506" t="s">
        <v>600</v>
      </c>
      <c r="C180" s="509" t="n">
        <v>1.42752782159009</v>
      </c>
      <c r="D180" s="506" t="s">
        <v>177</v>
      </c>
      <c r="E180" s="506" t="s">
        <v>289</v>
      </c>
      <c r="F180" s="509" t="n">
        <v>2</v>
      </c>
      <c r="G180" s="509"/>
      <c r="H180" s="457"/>
      <c r="J180" s="506" t="s">
        <v>601</v>
      </c>
    </row>
    <row r="181" customFormat="false" ht="9.75" hidden="false" customHeight="true" outlineLevel="0" collapsed="false">
      <c r="A181" s="506" t="str">
        <f aca="false">'12.lan'!D498</f>
        <v>PRY Paraguay </v>
      </c>
      <c r="B181" s="506" t="s">
        <v>602</v>
      </c>
      <c r="C181" s="509" t="n">
        <v>2.33602890935735</v>
      </c>
      <c r="D181" s="506" t="s">
        <v>177</v>
      </c>
      <c r="E181" s="506" t="s">
        <v>279</v>
      </c>
      <c r="F181" s="509" t="n">
        <v>4</v>
      </c>
      <c r="G181" s="509"/>
      <c r="H181" s="457"/>
      <c r="J181" s="506" t="s">
        <v>603</v>
      </c>
    </row>
    <row r="182" customFormat="false" ht="9.75" hidden="false" customHeight="true" outlineLevel="0" collapsed="false">
      <c r="A182" s="506" t="str">
        <f aca="false">'12.lan'!D499</f>
        <v>PSE Palestinian Territory, Occupied </v>
      </c>
      <c r="B182" s="506" t="s">
        <v>604</v>
      </c>
      <c r="C182" s="509" t="n">
        <v>1.61231121877747</v>
      </c>
      <c r="D182" s="506" t="s">
        <v>177</v>
      </c>
      <c r="E182" s="506" t="s">
        <v>283</v>
      </c>
      <c r="F182" s="509" t="n">
        <v>6</v>
      </c>
      <c r="G182" s="509" t="s">
        <v>280</v>
      </c>
      <c r="H182" s="457"/>
      <c r="J182" s="506" t="s">
        <v>605</v>
      </c>
    </row>
    <row r="183" customFormat="false" ht="9.75" hidden="false" customHeight="true" outlineLevel="0" collapsed="false">
      <c r="A183" s="506" t="str">
        <f aca="false">'12.lan'!D500</f>
        <v>PYF French Polynesia </v>
      </c>
      <c r="B183" s="506" t="s">
        <v>606</v>
      </c>
      <c r="C183" s="509" t="n">
        <v>1.49858687129258</v>
      </c>
      <c r="D183" s="506" t="s">
        <v>280</v>
      </c>
      <c r="E183" s="506" t="s">
        <v>300</v>
      </c>
      <c r="F183" s="509" t="n">
        <v>4.05</v>
      </c>
      <c r="G183" s="509" t="s">
        <v>280</v>
      </c>
      <c r="H183" s="457"/>
      <c r="I183" s="508"/>
      <c r="J183" s="506" t="s">
        <v>607</v>
      </c>
    </row>
    <row r="184" customFormat="false" ht="9.75" hidden="false" customHeight="true" outlineLevel="0" collapsed="false">
      <c r="A184" s="506" t="str">
        <f aca="false">'12.lan'!D501</f>
        <v>QAT Qatar </v>
      </c>
      <c r="B184" s="506" t="s">
        <v>608</v>
      </c>
      <c r="C184" s="509" t="n">
        <v>1.84462051287982</v>
      </c>
      <c r="D184" s="506" t="s">
        <v>177</v>
      </c>
      <c r="E184" s="506" t="s">
        <v>283</v>
      </c>
      <c r="F184" s="509" t="n">
        <v>4.47</v>
      </c>
      <c r="G184" s="509"/>
      <c r="H184" s="457"/>
      <c r="J184" s="506" t="s">
        <v>609</v>
      </c>
    </row>
    <row r="185" customFormat="false" ht="9.75" hidden="false" customHeight="true" outlineLevel="0" collapsed="false">
      <c r="A185" s="506" t="str">
        <f aca="false">'12.lan'!D502</f>
        <v>ROU Romania </v>
      </c>
      <c r="B185" s="506" t="s">
        <v>610</v>
      </c>
      <c r="C185" s="509" t="n">
        <v>2.29297858960098</v>
      </c>
      <c r="D185" s="506" t="s">
        <v>177</v>
      </c>
      <c r="E185" s="506" t="s">
        <v>289</v>
      </c>
      <c r="F185" s="509" t="n">
        <v>4</v>
      </c>
      <c r="G185" s="509"/>
      <c r="H185" s="457"/>
      <c r="J185" s="506" t="s">
        <v>611</v>
      </c>
    </row>
    <row r="186" customFormat="false" ht="9.75" hidden="false" customHeight="true" outlineLevel="0" collapsed="false">
      <c r="A186" s="506" t="str">
        <f aca="false">'12.lan'!D503</f>
        <v>RUS Russian Federation </v>
      </c>
      <c r="B186" s="506" t="s">
        <v>612</v>
      </c>
      <c r="C186" s="509" t="n">
        <v>2.44383226979666</v>
      </c>
      <c r="D186" s="506" t="s">
        <v>177</v>
      </c>
      <c r="E186" s="506" t="s">
        <v>289</v>
      </c>
      <c r="F186" s="509" t="n">
        <v>3</v>
      </c>
      <c r="G186" s="509"/>
      <c r="H186" s="457"/>
      <c r="J186" s="506" t="s">
        <v>613</v>
      </c>
    </row>
    <row r="187" customFormat="false" ht="9.75" hidden="false" customHeight="true" outlineLevel="0" collapsed="false">
      <c r="A187" s="506" t="str">
        <f aca="false">'12.lan'!D504</f>
        <v>RWA Rwanda </v>
      </c>
      <c r="B187" s="506" t="s">
        <v>614</v>
      </c>
      <c r="C187" s="509" t="n">
        <v>2.91296012217994</v>
      </c>
      <c r="D187" s="506" t="s">
        <v>177</v>
      </c>
      <c r="E187" s="506" t="s">
        <v>286</v>
      </c>
      <c r="F187" s="509" t="n">
        <v>3</v>
      </c>
      <c r="G187" s="509" t="s">
        <v>280</v>
      </c>
      <c r="H187" s="457"/>
      <c r="J187" s="506" t="s">
        <v>615</v>
      </c>
    </row>
    <row r="188" customFormat="false" ht="9.75" hidden="false" customHeight="true" outlineLevel="0" collapsed="false">
      <c r="A188" s="506" t="str">
        <f aca="false">'12.lan'!D505</f>
        <v>SAU Saudi Arabia </v>
      </c>
      <c r="B188" s="506" t="s">
        <v>616</v>
      </c>
      <c r="C188" s="509" t="n">
        <v>2.10380621362264</v>
      </c>
      <c r="D188" s="506" t="s">
        <v>177</v>
      </c>
      <c r="E188" s="506" t="s">
        <v>283</v>
      </c>
      <c r="F188" s="509" t="n">
        <v>5</v>
      </c>
      <c r="G188" s="509"/>
      <c r="H188" s="457"/>
      <c r="J188" s="506" t="s">
        <v>617</v>
      </c>
    </row>
    <row r="189" customFormat="false" ht="9.75" hidden="false" customHeight="true" outlineLevel="0" collapsed="false">
      <c r="A189" s="506" t="str">
        <f aca="false">'12.lan'!D506</f>
        <v>SDN Sudan </v>
      </c>
      <c r="B189" s="506" t="s">
        <v>618</v>
      </c>
      <c r="C189" s="509" t="n">
        <v>4.32886318784679</v>
      </c>
      <c r="D189" s="506" t="s">
        <v>177</v>
      </c>
      <c r="E189" s="506" t="s">
        <v>286</v>
      </c>
      <c r="F189" s="509" t="n">
        <v>6</v>
      </c>
      <c r="G189" s="509"/>
      <c r="H189" s="457"/>
      <c r="J189" s="506" t="s">
        <v>619</v>
      </c>
    </row>
    <row r="190" customFormat="false" ht="9.75" hidden="false" customHeight="true" outlineLevel="0" collapsed="false">
      <c r="A190" s="506" t="str">
        <f aca="false">'12.lan'!D507</f>
        <v>SEN Senegal </v>
      </c>
      <c r="B190" s="506" t="s">
        <v>620</v>
      </c>
      <c r="C190" s="509" t="n">
        <v>2.48531803232177</v>
      </c>
      <c r="D190" s="506" t="s">
        <v>177</v>
      </c>
      <c r="E190" s="506" t="s">
        <v>286</v>
      </c>
      <c r="F190" s="509" t="n">
        <v>4</v>
      </c>
      <c r="G190" s="509"/>
      <c r="H190" s="457"/>
      <c r="J190" s="506" t="s">
        <v>621</v>
      </c>
    </row>
    <row r="191" customFormat="false" ht="9.75" hidden="false" customHeight="true" outlineLevel="0" collapsed="false">
      <c r="A191" s="506" t="str">
        <f aca="false">'12.lan'!D508</f>
        <v>SGP Singapore </v>
      </c>
      <c r="B191" s="506" t="s">
        <v>622</v>
      </c>
      <c r="C191" s="509" t="n">
        <v>1.57213648135379</v>
      </c>
      <c r="D191" s="506" t="s">
        <v>177</v>
      </c>
      <c r="E191" s="506" t="s">
        <v>283</v>
      </c>
      <c r="F191" s="509" t="n">
        <v>2</v>
      </c>
      <c r="G191" s="509"/>
      <c r="H191" s="457"/>
      <c r="J191" s="506" t="s">
        <v>623</v>
      </c>
    </row>
    <row r="192" customFormat="false" ht="9.75" hidden="false" customHeight="true" outlineLevel="0" collapsed="false">
      <c r="A192" s="506" t="str">
        <f aca="false">'12.lan'!D509</f>
        <v>SLB Solomon Islands </v>
      </c>
      <c r="B192" s="506" t="s">
        <v>624</v>
      </c>
      <c r="C192" s="509" t="n">
        <v>1.13338170853637</v>
      </c>
      <c r="D192" s="506" t="s">
        <v>177</v>
      </c>
      <c r="E192" s="506" t="s">
        <v>300</v>
      </c>
      <c r="F192" s="509" t="n">
        <v>4.05</v>
      </c>
      <c r="G192" s="509" t="s">
        <v>280</v>
      </c>
      <c r="H192" s="457"/>
      <c r="J192" s="506" t="s">
        <v>625</v>
      </c>
    </row>
    <row r="193" customFormat="false" ht="9.75" hidden="false" customHeight="true" outlineLevel="0" collapsed="false">
      <c r="A193" s="506" t="str">
        <f aca="false">'12.lan'!D510</f>
        <v>SLE Sierra Leone </v>
      </c>
      <c r="B193" s="506" t="s">
        <v>626</v>
      </c>
      <c r="C193" s="509" t="n">
        <v>3.0000008915523</v>
      </c>
      <c r="D193" s="506" t="s">
        <v>177</v>
      </c>
      <c r="E193" s="506" t="s">
        <v>286</v>
      </c>
      <c r="F193" s="509" t="n">
        <v>5</v>
      </c>
      <c r="G193" s="509" t="s">
        <v>280</v>
      </c>
      <c r="H193" s="457"/>
      <c r="J193" s="506" t="s">
        <v>627</v>
      </c>
    </row>
    <row r="194" customFormat="false" ht="9.75" hidden="false" customHeight="true" outlineLevel="0" collapsed="false">
      <c r="A194" s="506" t="str">
        <f aca="false">'12.lan'!D511</f>
        <v>SLV El Salvador </v>
      </c>
      <c r="B194" s="506" t="s">
        <v>628</v>
      </c>
      <c r="C194" s="509" t="n">
        <v>2.05305221068972</v>
      </c>
      <c r="D194" s="506" t="s">
        <v>177</v>
      </c>
      <c r="E194" s="506" t="s">
        <v>279</v>
      </c>
      <c r="F194" s="509" t="n">
        <v>3</v>
      </c>
      <c r="G194" s="509"/>
      <c r="H194" s="457"/>
      <c r="J194" s="506" t="s">
        <v>629</v>
      </c>
    </row>
    <row r="195" customFormat="false" ht="9.75" hidden="false" customHeight="true" outlineLevel="0" collapsed="false">
      <c r="A195" s="506" t="str">
        <f aca="false">'12.lan'!D512</f>
        <v>SMR San Marino </v>
      </c>
      <c r="B195" s="506" t="s">
        <v>630</v>
      </c>
      <c r="C195" s="509" t="n">
        <v>1.29987874036966</v>
      </c>
      <c r="D195" s="506" t="n">
        <v>2017</v>
      </c>
      <c r="E195" s="506" t="s">
        <v>289</v>
      </c>
      <c r="F195" s="509" t="n">
        <v>2.55</v>
      </c>
      <c r="G195" s="509" t="s">
        <v>280</v>
      </c>
      <c r="H195" s="457"/>
      <c r="J195" s="506" t="s">
        <v>631</v>
      </c>
    </row>
    <row r="196" customFormat="false" ht="9.75" hidden="false" customHeight="true" outlineLevel="0" collapsed="false">
      <c r="A196" s="506" t="str">
        <f aca="false">'12.lan'!D513</f>
        <v>SOM Somalia </v>
      </c>
      <c r="B196" s="506" t="s">
        <v>632</v>
      </c>
      <c r="C196" s="509" t="n">
        <v>2.51455039477944</v>
      </c>
      <c r="D196" s="506" t="s">
        <v>280</v>
      </c>
      <c r="E196" s="506" t="s">
        <v>286</v>
      </c>
      <c r="F196" s="509" t="n">
        <v>6</v>
      </c>
      <c r="G196" s="509" t="s">
        <v>280</v>
      </c>
      <c r="H196" s="457"/>
      <c r="J196" s="506" t="s">
        <v>633</v>
      </c>
    </row>
    <row r="197" customFormat="false" ht="9.75" hidden="false" customHeight="true" outlineLevel="0" collapsed="false">
      <c r="A197" s="506" t="str">
        <f aca="false">'12.lan'!D514</f>
        <v>SRB Serbia </v>
      </c>
      <c r="B197" s="506" t="s">
        <v>634</v>
      </c>
      <c r="C197" s="509" t="n">
        <v>2.4059006119375</v>
      </c>
      <c r="D197" s="506" t="s">
        <v>177</v>
      </c>
      <c r="E197" s="506" t="s">
        <v>289</v>
      </c>
      <c r="F197" s="509" t="n">
        <v>4</v>
      </c>
      <c r="G197" s="509"/>
      <c r="H197" s="457"/>
      <c r="J197" s="506" t="s">
        <v>635</v>
      </c>
    </row>
    <row r="198" customFormat="false" ht="9.75" hidden="false" customHeight="true" outlineLevel="0" collapsed="false">
      <c r="A198" s="506" t="str">
        <f aca="false">'12.lan'!D515</f>
        <v>SSD South Sudan </v>
      </c>
      <c r="B198" s="506" t="s">
        <v>636</v>
      </c>
      <c r="C198" s="509" t="n">
        <v>2.51455039477944</v>
      </c>
      <c r="D198" s="506" t="s">
        <v>280</v>
      </c>
      <c r="E198" s="506" t="s">
        <v>286</v>
      </c>
      <c r="F198" s="509" t="n">
        <v>6</v>
      </c>
      <c r="G198" s="509" t="s">
        <v>280</v>
      </c>
      <c r="H198" s="457"/>
      <c r="J198" s="506" t="s">
        <v>637</v>
      </c>
    </row>
    <row r="199" customFormat="false" ht="9.75" hidden="false" customHeight="true" outlineLevel="0" collapsed="false">
      <c r="A199" s="506" t="str">
        <f aca="false">'12.lan'!D516</f>
        <v>STP Sao Tome and Principe </v>
      </c>
      <c r="B199" s="506" t="s">
        <v>638</v>
      </c>
      <c r="C199" s="509" t="n">
        <v>1.70831895243272</v>
      </c>
      <c r="D199" s="506" t="s">
        <v>177</v>
      </c>
      <c r="E199" s="506" t="s">
        <v>286</v>
      </c>
      <c r="F199" s="509" t="n">
        <v>3.79</v>
      </c>
      <c r="G199" s="509" t="s">
        <v>280</v>
      </c>
      <c r="H199" s="457"/>
      <c r="J199" s="506" t="s">
        <v>639</v>
      </c>
    </row>
    <row r="200" customFormat="false" ht="9.75" hidden="false" customHeight="true" outlineLevel="0" collapsed="false">
      <c r="A200" s="506" t="str">
        <f aca="false">'12.lan'!D517</f>
        <v>SUR Suriname </v>
      </c>
      <c r="B200" s="506" t="s">
        <v>640</v>
      </c>
      <c r="C200" s="509" t="n">
        <v>2.488025804897</v>
      </c>
      <c r="D200" s="506" t="s">
        <v>177</v>
      </c>
      <c r="E200" s="506" t="s">
        <v>279</v>
      </c>
      <c r="F200" s="509" t="n">
        <v>3.52</v>
      </c>
      <c r="G200" s="509" t="s">
        <v>280</v>
      </c>
      <c r="H200" s="457"/>
      <c r="J200" s="506" t="s">
        <v>641</v>
      </c>
    </row>
    <row r="201" customFormat="false" ht="9.75" hidden="false" customHeight="true" outlineLevel="0" collapsed="false">
      <c r="A201" s="506" t="str">
        <f aca="false">'12.lan'!D518</f>
        <v>SVK Slovakia </v>
      </c>
      <c r="B201" s="506" t="s">
        <v>642</v>
      </c>
      <c r="C201" s="509" t="n">
        <v>1.73517006069126</v>
      </c>
      <c r="D201" s="506" t="s">
        <v>177</v>
      </c>
      <c r="E201" s="506" t="s">
        <v>289</v>
      </c>
      <c r="F201" s="509" t="n">
        <v>1</v>
      </c>
      <c r="G201" s="509"/>
      <c r="H201" s="457"/>
      <c r="J201" s="506" t="s">
        <v>643</v>
      </c>
    </row>
    <row r="202" customFormat="false" ht="9.75" hidden="false" customHeight="true" outlineLevel="0" collapsed="false">
      <c r="A202" s="506" t="str">
        <f aca="false">'12.lan'!D519</f>
        <v>SVN Slovenia </v>
      </c>
      <c r="B202" s="506" t="s">
        <v>644</v>
      </c>
      <c r="C202" s="509" t="n">
        <v>1.45647001674854</v>
      </c>
      <c r="D202" s="506" t="s">
        <v>177</v>
      </c>
      <c r="E202" s="506" t="s">
        <v>289</v>
      </c>
      <c r="F202" s="509" t="n">
        <v>2.55</v>
      </c>
      <c r="G202" s="509"/>
      <c r="H202" s="457"/>
      <c r="J202" s="506" t="s">
        <v>645</v>
      </c>
    </row>
    <row r="203" customFormat="false" ht="9.75" hidden="false" customHeight="true" outlineLevel="0" collapsed="false">
      <c r="A203" s="506" t="str">
        <f aca="false">'12.lan'!D520</f>
        <v>SWE Sweden </v>
      </c>
      <c r="B203" s="506" t="s">
        <v>646</v>
      </c>
      <c r="C203" s="509" t="n">
        <v>0.974372497401772</v>
      </c>
      <c r="D203" s="506" t="s">
        <v>177</v>
      </c>
      <c r="E203" s="506" t="s">
        <v>289</v>
      </c>
      <c r="F203" s="509" t="n">
        <v>1</v>
      </c>
      <c r="G203" s="509"/>
      <c r="H203" s="457"/>
      <c r="J203" s="506" t="s">
        <v>647</v>
      </c>
    </row>
    <row r="204" customFormat="false" ht="9.75" hidden="false" customHeight="true" outlineLevel="0" collapsed="false">
      <c r="A204" s="506" t="str">
        <f aca="false">'12.lan'!D521</f>
        <v>SWZ Swaziland </v>
      </c>
      <c r="B204" s="506" t="s">
        <v>648</v>
      </c>
      <c r="C204" s="509" t="n">
        <v>2.56582444585392</v>
      </c>
      <c r="D204" s="506" t="s">
        <v>177</v>
      </c>
      <c r="E204" s="506" t="s">
        <v>286</v>
      </c>
      <c r="F204" s="509" t="n">
        <v>3.79</v>
      </c>
      <c r="G204" s="509" t="s">
        <v>280</v>
      </c>
      <c r="H204" s="457"/>
      <c r="J204" s="506" t="s">
        <v>649</v>
      </c>
    </row>
    <row r="205" customFormat="false" ht="9.75" hidden="false" customHeight="true" outlineLevel="0" collapsed="false">
      <c r="A205" s="506" t="str">
        <f aca="false">'12.lan'!D522</f>
        <v>SXM Sint Maarten (Dutch part) </v>
      </c>
      <c r="B205" s="506" t="s">
        <v>650</v>
      </c>
      <c r="C205" s="509" t="n">
        <v>1.00304566871495</v>
      </c>
      <c r="D205" s="506" t="s">
        <v>280</v>
      </c>
      <c r="E205" s="506" t="s">
        <v>279</v>
      </c>
      <c r="F205" s="509" t="n">
        <v>3.52</v>
      </c>
      <c r="G205" s="509" t="s">
        <v>280</v>
      </c>
      <c r="H205" s="457"/>
      <c r="I205" s="508"/>
      <c r="J205" s="506" t="s">
        <v>651</v>
      </c>
    </row>
    <row r="206" customFormat="false" ht="9.75" hidden="false" customHeight="true" outlineLevel="0" collapsed="false">
      <c r="A206" s="506" t="str">
        <f aca="false">'12.lan'!D523</f>
        <v>SYC Seychelles </v>
      </c>
      <c r="B206" s="506" t="s">
        <v>652</v>
      </c>
      <c r="C206" s="509" t="n">
        <v>1.85938883074535</v>
      </c>
      <c r="D206" s="506" t="s">
        <v>177</v>
      </c>
      <c r="E206" s="506" t="s">
        <v>286</v>
      </c>
      <c r="F206" s="509" t="n">
        <v>3.79</v>
      </c>
      <c r="G206" s="509" t="s">
        <v>280</v>
      </c>
      <c r="H206" s="457"/>
      <c r="J206" s="506" t="s">
        <v>653</v>
      </c>
    </row>
    <row r="207" customFormat="false" ht="9.75" hidden="false" customHeight="true" outlineLevel="0" collapsed="false">
      <c r="A207" s="506" t="str">
        <f aca="false">'12.lan'!D524</f>
        <v>SYR Syrian Arab Republic </v>
      </c>
      <c r="B207" s="506" t="s">
        <v>654</v>
      </c>
      <c r="C207" s="509" t="n">
        <v>2.57526049680317</v>
      </c>
      <c r="D207" s="506" t="s">
        <v>280</v>
      </c>
      <c r="E207" s="506" t="s">
        <v>283</v>
      </c>
      <c r="F207" s="509" t="n">
        <v>4.47</v>
      </c>
      <c r="G207" s="509" t="s">
        <v>280</v>
      </c>
      <c r="H207" s="457"/>
      <c r="J207" s="506" t="s">
        <v>655</v>
      </c>
    </row>
    <row r="208" customFormat="false" ht="9.75" hidden="false" customHeight="true" outlineLevel="0" collapsed="false">
      <c r="A208" s="506" t="str">
        <f aca="false">'12.lan'!D525</f>
        <v>TCA Turks and Caicos Islands </v>
      </c>
      <c r="B208" s="506" t="s">
        <v>656</v>
      </c>
      <c r="C208" s="509" t="n">
        <v>0.934732908630035</v>
      </c>
      <c r="D208" s="506" t="s">
        <v>177</v>
      </c>
      <c r="E208" s="506" t="s">
        <v>279</v>
      </c>
      <c r="F208" s="509" t="n">
        <v>3.52</v>
      </c>
      <c r="G208" s="509" t="s">
        <v>280</v>
      </c>
      <c r="H208" s="457"/>
      <c r="J208" s="506" t="s">
        <v>657</v>
      </c>
    </row>
    <row r="209" customFormat="false" ht="9.75" hidden="false" customHeight="true" outlineLevel="0" collapsed="false">
      <c r="A209" s="506" t="str">
        <f aca="false">'12.lan'!D526</f>
        <v>TCD Chad </v>
      </c>
      <c r="B209" s="506" t="s">
        <v>658</v>
      </c>
      <c r="C209" s="509" t="n">
        <v>2.70237734914943</v>
      </c>
      <c r="D209" s="506" t="s">
        <v>177</v>
      </c>
      <c r="E209" s="506" t="s">
        <v>286</v>
      </c>
      <c r="F209" s="509" t="n">
        <v>4</v>
      </c>
      <c r="G209" s="509"/>
      <c r="H209" s="457"/>
      <c r="J209" s="506" t="s">
        <v>659</v>
      </c>
    </row>
    <row r="210" customFormat="false" ht="9.75" hidden="false" customHeight="true" outlineLevel="0" collapsed="false">
      <c r="A210" s="506" t="str">
        <f aca="false">'12.lan'!D527</f>
        <v>TGO Togo </v>
      </c>
      <c r="B210" s="506" t="s">
        <v>660</v>
      </c>
      <c r="C210" s="509" t="n">
        <v>2.61152467089072</v>
      </c>
      <c r="D210" s="506" t="s">
        <v>177</v>
      </c>
      <c r="E210" s="506" t="s">
        <v>286</v>
      </c>
      <c r="F210" s="509" t="n">
        <v>2</v>
      </c>
      <c r="G210" s="509" t="s">
        <v>280</v>
      </c>
      <c r="H210" s="457"/>
      <c r="J210" s="506" t="s">
        <v>661</v>
      </c>
    </row>
    <row r="211" customFormat="false" ht="9.75" hidden="false" customHeight="true" outlineLevel="0" collapsed="false">
      <c r="A211" s="506" t="str">
        <f aca="false">'12.lan'!D528</f>
        <v>THA Thailand </v>
      </c>
      <c r="B211" s="506" t="s">
        <v>662</v>
      </c>
      <c r="C211" s="509" t="n">
        <v>2.61925727991692</v>
      </c>
      <c r="D211" s="506" t="s">
        <v>177</v>
      </c>
      <c r="E211" s="506" t="s">
        <v>283</v>
      </c>
      <c r="F211" s="509" t="n">
        <v>5</v>
      </c>
      <c r="G211" s="509"/>
      <c r="H211" s="457"/>
      <c r="J211" s="506" t="s">
        <v>663</v>
      </c>
    </row>
    <row r="212" customFormat="false" ht="9.75" hidden="false" customHeight="true" outlineLevel="0" collapsed="false">
      <c r="A212" s="506" t="str">
        <f aca="false">'12.lan'!D529</f>
        <v>TJK Tajikistan </v>
      </c>
      <c r="B212" s="506" t="s">
        <v>664</v>
      </c>
      <c r="C212" s="509" t="n">
        <v>4.17334800551519</v>
      </c>
      <c r="D212" s="506" t="s">
        <v>177</v>
      </c>
      <c r="E212" s="506" t="s">
        <v>283</v>
      </c>
      <c r="F212" s="509" t="n">
        <v>4.47</v>
      </c>
      <c r="G212" s="509" t="s">
        <v>280</v>
      </c>
      <c r="H212" s="457"/>
      <c r="J212" s="506" t="s">
        <v>665</v>
      </c>
    </row>
    <row r="213" customFormat="false" ht="9.75" hidden="false" customHeight="true" outlineLevel="0" collapsed="false">
      <c r="A213" s="506" t="str">
        <f aca="false">'12.lan'!D530</f>
        <v>TKM Turkmenistan </v>
      </c>
      <c r="B213" s="506" t="s">
        <v>666</v>
      </c>
      <c r="C213" s="509" t="n">
        <v>2.77093606426033</v>
      </c>
      <c r="D213" s="506" t="s">
        <v>177</v>
      </c>
      <c r="E213" s="506" t="s">
        <v>283</v>
      </c>
      <c r="F213" s="509" t="n">
        <v>4.47</v>
      </c>
      <c r="G213" s="509" t="s">
        <v>280</v>
      </c>
      <c r="H213" s="457"/>
      <c r="J213" s="506" t="s">
        <v>667</v>
      </c>
    </row>
    <row r="214" customFormat="false" ht="9.75" hidden="false" customHeight="true" outlineLevel="0" collapsed="false">
      <c r="A214" s="506" t="str">
        <f aca="false">'12.lan'!D531</f>
        <v>TLS Timor-Leste </v>
      </c>
      <c r="B214" s="506" t="s">
        <v>668</v>
      </c>
      <c r="C214" s="509" t="n">
        <v>3.76237161540844</v>
      </c>
      <c r="D214" s="506" t="s">
        <v>177</v>
      </c>
      <c r="E214" s="506" t="s">
        <v>283</v>
      </c>
      <c r="F214" s="509" t="n">
        <v>4.47</v>
      </c>
      <c r="G214" s="509" t="s">
        <v>280</v>
      </c>
      <c r="H214" s="457"/>
      <c r="J214" s="506" t="s">
        <v>669</v>
      </c>
    </row>
    <row r="215" customFormat="false" ht="9.75" hidden="false" customHeight="true" outlineLevel="0" collapsed="false">
      <c r="A215" s="506" t="str">
        <f aca="false">'12.lan'!D532</f>
        <v>TON Tonga </v>
      </c>
      <c r="B215" s="506" t="s">
        <v>670</v>
      </c>
      <c r="C215" s="509" t="n">
        <v>1.47102174317472</v>
      </c>
      <c r="D215" s="506" t="s">
        <v>177</v>
      </c>
      <c r="E215" s="506" t="s">
        <v>300</v>
      </c>
      <c r="F215" s="509" t="n">
        <v>4.05</v>
      </c>
      <c r="G215" s="509" t="s">
        <v>280</v>
      </c>
      <c r="H215" s="457"/>
      <c r="J215" s="506" t="s">
        <v>671</v>
      </c>
    </row>
    <row r="216" customFormat="false" ht="9.75" hidden="false" customHeight="true" outlineLevel="0" collapsed="false">
      <c r="A216" s="506" t="str">
        <f aca="false">'12.lan'!D533</f>
        <v>TTO Trinidad and Tobago </v>
      </c>
      <c r="B216" s="506" t="s">
        <v>672</v>
      </c>
      <c r="C216" s="509" t="n">
        <v>1.86894019616355</v>
      </c>
      <c r="D216" s="506" t="s">
        <v>177</v>
      </c>
      <c r="E216" s="506" t="s">
        <v>279</v>
      </c>
      <c r="F216" s="509" t="n">
        <v>4</v>
      </c>
      <c r="G216" s="509" t="s">
        <v>280</v>
      </c>
      <c r="H216" s="457"/>
      <c r="J216" s="506" t="s">
        <v>673</v>
      </c>
    </row>
    <row r="217" customFormat="false" ht="9.75" hidden="false" customHeight="true" outlineLevel="0" collapsed="false">
      <c r="A217" s="506" t="str">
        <f aca="false">'12.lan'!D534</f>
        <v>TUN Tunisia </v>
      </c>
      <c r="B217" s="506" t="s">
        <v>674</v>
      </c>
      <c r="C217" s="509" t="n">
        <v>3.62662552660372</v>
      </c>
      <c r="D217" s="506" t="s">
        <v>177</v>
      </c>
      <c r="E217" s="506" t="s">
        <v>286</v>
      </c>
      <c r="F217" s="509" t="n">
        <v>4</v>
      </c>
      <c r="G217" s="509" t="s">
        <v>280</v>
      </c>
      <c r="H217" s="457"/>
      <c r="J217" s="506" t="s">
        <v>675</v>
      </c>
    </row>
    <row r="218" customFormat="false" ht="9.75" hidden="false" customHeight="true" outlineLevel="0" collapsed="false">
      <c r="A218" s="506" t="str">
        <f aca="false">'12.lan'!D535</f>
        <v>TUR Turkey </v>
      </c>
      <c r="B218" s="506" t="s">
        <v>676</v>
      </c>
      <c r="C218" s="509" t="n">
        <v>2.99555295262108</v>
      </c>
      <c r="D218" s="506" t="s">
        <v>177</v>
      </c>
      <c r="E218" s="506" t="s">
        <v>283</v>
      </c>
      <c r="F218" s="509" t="n">
        <v>5</v>
      </c>
      <c r="G218" s="509"/>
      <c r="H218" s="457"/>
      <c r="J218" s="506" t="s">
        <v>677</v>
      </c>
    </row>
    <row r="219" customFormat="false" ht="9.75" hidden="false" customHeight="true" outlineLevel="0" collapsed="false">
      <c r="A219" s="506" t="str">
        <f aca="false">'12.lan'!D536</f>
        <v>TUV Tuvalu </v>
      </c>
      <c r="B219" s="506" t="s">
        <v>678</v>
      </c>
      <c r="C219" s="509" t="n">
        <v>1.09426667819879</v>
      </c>
      <c r="D219" s="506" t="s">
        <v>177</v>
      </c>
      <c r="E219" s="506" t="s">
        <v>300</v>
      </c>
      <c r="F219" s="509" t="n">
        <v>4.05</v>
      </c>
      <c r="G219" s="509" t="s">
        <v>280</v>
      </c>
      <c r="H219" s="457"/>
      <c r="J219" s="506" t="s">
        <v>679</v>
      </c>
    </row>
    <row r="220" customFormat="false" ht="9.75" hidden="false" customHeight="true" outlineLevel="0" collapsed="false">
      <c r="A220" s="506" t="str">
        <f aca="false">'12.lan'!D537</f>
        <v>TZA Tanzania, United Republic of </v>
      </c>
      <c r="B220" s="506" t="s">
        <v>680</v>
      </c>
      <c r="C220" s="509" t="n">
        <v>3.05398622361057</v>
      </c>
      <c r="D220" s="506" t="s">
        <v>177</v>
      </c>
      <c r="E220" s="506" t="s">
        <v>286</v>
      </c>
      <c r="F220" s="509" t="n">
        <v>4</v>
      </c>
      <c r="G220" s="509"/>
      <c r="H220" s="457"/>
      <c r="J220" s="506" t="s">
        <v>681</v>
      </c>
    </row>
    <row r="221" customFormat="false" ht="9.75" hidden="false" customHeight="true" outlineLevel="0" collapsed="false">
      <c r="A221" s="506" t="str">
        <f aca="false">'12.lan'!D538</f>
        <v>UGA Uganda </v>
      </c>
      <c r="B221" s="506" t="s">
        <v>682</v>
      </c>
      <c r="C221" s="509" t="n">
        <v>3.17073371129007</v>
      </c>
      <c r="D221" s="506" t="s">
        <v>177</v>
      </c>
      <c r="E221" s="506" t="s">
        <v>286</v>
      </c>
      <c r="F221" s="509" t="n">
        <v>4</v>
      </c>
      <c r="G221" s="509"/>
      <c r="H221" s="457"/>
      <c r="J221" s="506" t="s">
        <v>683</v>
      </c>
    </row>
    <row r="222" customFormat="false" ht="9.75" hidden="false" customHeight="true" outlineLevel="0" collapsed="false">
      <c r="A222" s="506" t="str">
        <f aca="false">'12.lan'!D539</f>
        <v>UKR Ukraine </v>
      </c>
      <c r="B222" s="506" t="s">
        <v>684</v>
      </c>
      <c r="C222" s="509" t="n">
        <v>2.98835005343826</v>
      </c>
      <c r="D222" s="506" t="s">
        <v>177</v>
      </c>
      <c r="E222" s="506" t="s">
        <v>289</v>
      </c>
      <c r="F222" s="509" t="n">
        <v>5</v>
      </c>
      <c r="G222" s="509"/>
      <c r="H222" s="457"/>
      <c r="J222" s="506" t="s">
        <v>685</v>
      </c>
    </row>
    <row r="223" customFormat="false" ht="9.75" hidden="false" customHeight="true" outlineLevel="0" collapsed="false">
      <c r="A223" s="506" t="str">
        <f aca="false">'12.lan'!D540</f>
        <v>URY Uruguay </v>
      </c>
      <c r="B223" s="506" t="s">
        <v>686</v>
      </c>
      <c r="C223" s="509" t="n">
        <v>1.36429090407299</v>
      </c>
      <c r="D223" s="506" t="s">
        <v>177</v>
      </c>
      <c r="E223" s="506" t="s">
        <v>279</v>
      </c>
      <c r="F223" s="509" t="n">
        <v>1</v>
      </c>
      <c r="G223" s="509"/>
      <c r="H223" s="457"/>
      <c r="J223" s="506" t="s">
        <v>687</v>
      </c>
    </row>
    <row r="224" customFormat="false" ht="9.75" hidden="false" customHeight="true" outlineLevel="0" collapsed="false">
      <c r="A224" s="506" t="str">
        <f aca="false">'12.lan'!D541</f>
        <v>USA United States </v>
      </c>
      <c r="B224" s="506" t="s">
        <v>688</v>
      </c>
      <c r="C224" s="509" t="n">
        <v>1</v>
      </c>
      <c r="D224" s="506" t="s">
        <v>177</v>
      </c>
      <c r="E224" s="506" t="s">
        <v>279</v>
      </c>
      <c r="F224" s="509" t="n">
        <v>4</v>
      </c>
      <c r="G224" s="509"/>
      <c r="H224" s="457"/>
      <c r="J224" s="506" t="s">
        <v>689</v>
      </c>
    </row>
    <row r="225" customFormat="false" ht="9.75" hidden="false" customHeight="true" outlineLevel="0" collapsed="false">
      <c r="A225" s="506" t="str">
        <f aca="false">'12.lan'!D542</f>
        <v>UZB Uzbekistan </v>
      </c>
      <c r="B225" s="506" t="s">
        <v>690</v>
      </c>
      <c r="C225" s="509" t="n">
        <v>5.58353540583748</v>
      </c>
      <c r="D225" s="506" t="s">
        <v>177</v>
      </c>
      <c r="E225" s="506" t="s">
        <v>283</v>
      </c>
      <c r="F225" s="509" t="n">
        <v>4.47</v>
      </c>
      <c r="G225" s="509" t="s">
        <v>280</v>
      </c>
      <c r="H225" s="457"/>
      <c r="J225" s="506" t="s">
        <v>691</v>
      </c>
    </row>
    <row r="226" customFormat="false" ht="9.75" hidden="false" customHeight="true" outlineLevel="0" collapsed="false">
      <c r="A226" s="506" t="str">
        <f aca="false">'12.lan'!D543</f>
        <v>VCT Saint Vincent and the Grenadines </v>
      </c>
      <c r="B226" s="506" t="s">
        <v>692</v>
      </c>
      <c r="C226" s="509" t="n">
        <v>1.66924415185691</v>
      </c>
      <c r="D226" s="506" t="s">
        <v>177</v>
      </c>
      <c r="E226" s="506" t="s">
        <v>279</v>
      </c>
      <c r="F226" s="509" t="n">
        <v>3.52</v>
      </c>
      <c r="G226" s="509" t="s">
        <v>280</v>
      </c>
      <c r="H226" s="457"/>
      <c r="J226" s="506" t="s">
        <v>693</v>
      </c>
    </row>
    <row r="227" customFormat="false" ht="9.75" hidden="false" customHeight="true" outlineLevel="0" collapsed="false">
      <c r="A227" s="506" t="str">
        <f aca="false">'12.lan'!D544</f>
        <v>VEN Venezuela, Bolivarian Republic of </v>
      </c>
      <c r="B227" s="506" t="s">
        <v>694</v>
      </c>
      <c r="C227" s="509" t="n">
        <v>1.83434611496898</v>
      </c>
      <c r="D227" s="506" t="s">
        <v>280</v>
      </c>
      <c r="E227" s="506" t="s">
        <v>279</v>
      </c>
      <c r="F227" s="509" t="n">
        <v>4</v>
      </c>
      <c r="G227" s="509"/>
      <c r="H227" s="457"/>
      <c r="J227" s="506" t="s">
        <v>695</v>
      </c>
    </row>
    <row r="228" customFormat="false" ht="9.75" hidden="false" customHeight="true" outlineLevel="0" collapsed="false">
      <c r="A228" s="506" t="str">
        <f aca="false">'12.lan'!D545</f>
        <v>VGB Virgin Islands, British </v>
      </c>
      <c r="B228" s="506" t="s">
        <v>696</v>
      </c>
      <c r="C228" s="509" t="n">
        <v>1.00304566871495</v>
      </c>
      <c r="D228" s="506" t="s">
        <v>280</v>
      </c>
      <c r="E228" s="506" t="s">
        <v>279</v>
      </c>
      <c r="F228" s="509" t="n">
        <v>3.52</v>
      </c>
      <c r="G228" s="509" t="s">
        <v>280</v>
      </c>
      <c r="H228" s="457"/>
      <c r="J228" s="506" t="s">
        <v>697</v>
      </c>
    </row>
    <row r="229" customFormat="false" ht="9.75" hidden="false" customHeight="true" outlineLevel="0" collapsed="false">
      <c r="A229" s="506" t="str">
        <f aca="false">'12.lan'!D546</f>
        <v>VIR Virgin Islands, U.S. </v>
      </c>
      <c r="B229" s="506" t="s">
        <v>698</v>
      </c>
      <c r="C229" s="509" t="n">
        <v>1.00304566871495</v>
      </c>
      <c r="D229" s="506" t="s">
        <v>280</v>
      </c>
      <c r="E229" s="506" t="s">
        <v>279</v>
      </c>
      <c r="F229" s="509" t="n">
        <v>3.52</v>
      </c>
      <c r="G229" s="509" t="s">
        <v>280</v>
      </c>
      <c r="H229" s="457"/>
      <c r="J229" s="506" t="s">
        <v>699</v>
      </c>
    </row>
    <row r="230" customFormat="false" ht="9.75" hidden="false" customHeight="true" outlineLevel="0" collapsed="false">
      <c r="A230" s="506" t="str">
        <f aca="false">'12.lan'!D547</f>
        <v>VNM Viet Nam </v>
      </c>
      <c r="B230" s="506" t="s">
        <v>700</v>
      </c>
      <c r="C230" s="509" t="n">
        <v>2.90182466524532</v>
      </c>
      <c r="D230" s="506" t="s">
        <v>177</v>
      </c>
      <c r="E230" s="506" t="s">
        <v>283</v>
      </c>
      <c r="F230" s="509" t="n">
        <v>5</v>
      </c>
      <c r="G230" s="509" t="s">
        <v>280</v>
      </c>
      <c r="H230" s="457"/>
      <c r="J230" s="506" t="s">
        <v>701</v>
      </c>
    </row>
    <row r="231" customFormat="false" ht="9.75" hidden="false" customHeight="true" outlineLevel="0" collapsed="false">
      <c r="A231" s="506" t="str">
        <f aca="false">'12.lan'!D548</f>
        <v>VUT Vanuatu </v>
      </c>
      <c r="B231" s="506" t="s">
        <v>702</v>
      </c>
      <c r="C231" s="509" t="n">
        <v>1.03113308124574</v>
      </c>
      <c r="D231" s="506" t="s">
        <v>177</v>
      </c>
      <c r="E231" s="506" t="s">
        <v>300</v>
      </c>
      <c r="F231" s="509" t="n">
        <v>4.05</v>
      </c>
      <c r="G231" s="509" t="s">
        <v>280</v>
      </c>
      <c r="H231" s="457"/>
      <c r="J231" s="506" t="s">
        <v>703</v>
      </c>
    </row>
    <row r="232" customFormat="false" ht="9.75" hidden="false" customHeight="true" outlineLevel="0" collapsed="false">
      <c r="A232" s="506" t="str">
        <f aca="false">'12.lan'!D549</f>
        <v>WSM Samoa </v>
      </c>
      <c r="B232" s="506" t="s">
        <v>704</v>
      </c>
      <c r="C232" s="509" t="n">
        <v>1.5498211813476</v>
      </c>
      <c r="D232" s="506" t="s">
        <v>177</v>
      </c>
      <c r="E232" s="506" t="s">
        <v>300</v>
      </c>
      <c r="F232" s="509" t="n">
        <v>4.05</v>
      </c>
      <c r="G232" s="509" t="s">
        <v>280</v>
      </c>
      <c r="H232" s="457"/>
      <c r="J232" s="506" t="s">
        <v>705</v>
      </c>
    </row>
    <row r="233" customFormat="false" ht="9.75" hidden="false" customHeight="true" outlineLevel="0" collapsed="false">
      <c r="A233" s="506" t="str">
        <f aca="false">'12.lan'!D550</f>
        <v>XKX Kosovo</v>
      </c>
      <c r="B233" s="506" t="s">
        <v>706</v>
      </c>
      <c r="C233" s="509" t="n">
        <v>2.63775782301912</v>
      </c>
      <c r="D233" s="506" t="s">
        <v>177</v>
      </c>
      <c r="E233" s="506" t="s">
        <v>289</v>
      </c>
      <c r="F233" s="509" t="n">
        <v>2.55</v>
      </c>
      <c r="G233" s="509" t="s">
        <v>280</v>
      </c>
      <c r="H233" s="457"/>
      <c r="J233" s="506" t="s">
        <v>707</v>
      </c>
    </row>
    <row r="234" customFormat="false" ht="9.75" hidden="false" customHeight="true" outlineLevel="0" collapsed="false">
      <c r="A234" s="506" t="str">
        <f aca="false">'12.lan'!D551</f>
        <v>YEM Yemen </v>
      </c>
      <c r="B234" s="506" t="s">
        <v>708</v>
      </c>
      <c r="C234" s="509" t="n">
        <v>2.72670818512769</v>
      </c>
      <c r="D234" s="506" t="s">
        <v>177</v>
      </c>
      <c r="E234" s="506" t="s">
        <v>283</v>
      </c>
      <c r="F234" s="509" t="n">
        <v>6</v>
      </c>
      <c r="G234" s="509" t="s">
        <v>280</v>
      </c>
      <c r="H234" s="457"/>
      <c r="J234" s="506" t="s">
        <v>709</v>
      </c>
    </row>
    <row r="235" customFormat="false" ht="9.75" hidden="false" customHeight="true" outlineLevel="0" collapsed="false">
      <c r="A235" s="506" t="str">
        <f aca="false">'12.lan'!D552</f>
        <v>ZAF South Africa </v>
      </c>
      <c r="B235" s="506" t="s">
        <v>710</v>
      </c>
      <c r="C235" s="509" t="n">
        <v>2.14728927155068</v>
      </c>
      <c r="D235" s="506" t="s">
        <v>177</v>
      </c>
      <c r="E235" s="506" t="s">
        <v>286</v>
      </c>
      <c r="F235" s="509" t="n">
        <v>2</v>
      </c>
      <c r="G235" s="509"/>
      <c r="H235" s="457"/>
      <c r="I235" s="508"/>
      <c r="J235" s="506" t="s">
        <v>711</v>
      </c>
    </row>
    <row r="236" customFormat="false" ht="9.75" hidden="false" customHeight="true" outlineLevel="0" collapsed="false">
      <c r="A236" s="506" t="str">
        <f aca="false">'12.lan'!D553</f>
        <v>ZMB Zambia </v>
      </c>
      <c r="B236" s="506" t="s">
        <v>712</v>
      </c>
      <c r="C236" s="509" t="n">
        <v>2.74297454566507</v>
      </c>
      <c r="D236" s="506" t="s">
        <v>177</v>
      </c>
      <c r="E236" s="506" t="s">
        <v>286</v>
      </c>
      <c r="F236" s="509" t="n">
        <v>4</v>
      </c>
      <c r="G236" s="509"/>
      <c r="H236" s="457"/>
      <c r="J236" s="506" t="s">
        <v>713</v>
      </c>
    </row>
    <row r="237" customFormat="false" ht="9.75" hidden="false" customHeight="true" outlineLevel="0" collapsed="false">
      <c r="A237" s="506" t="str">
        <f aca="false">'12.lan'!D554</f>
        <v>ZWE Zimbabwe </v>
      </c>
      <c r="B237" s="506" t="s">
        <v>714</v>
      </c>
      <c r="C237" s="509" t="n">
        <v>1.41117750678159</v>
      </c>
      <c r="D237" s="506" t="s">
        <v>177</v>
      </c>
      <c r="E237" s="506" t="s">
        <v>286</v>
      </c>
      <c r="F237" s="509" t="n">
        <v>5</v>
      </c>
      <c r="G237" s="509"/>
      <c r="H237" s="457"/>
      <c r="J237" s="506" t="s">
        <v>715</v>
      </c>
    </row>
    <row r="238" customFormat="false" ht="9.75" hidden="false" customHeight="true" outlineLevel="0" collapsed="false">
      <c r="A238" s="506" t="str">
        <f aca="false">'12.lan'!D555</f>
        <v>Average Africa</v>
      </c>
      <c r="B238" s="506" t="s">
        <v>286</v>
      </c>
      <c r="C238" s="512" t="n">
        <v>2.51455039477944</v>
      </c>
      <c r="D238" s="512"/>
      <c r="E238" s="506"/>
      <c r="F238" s="512" t="n">
        <v>3.79</v>
      </c>
      <c r="G238" s="506"/>
      <c r="H238" s="457"/>
      <c r="J238" s="506" t="s">
        <v>716</v>
      </c>
    </row>
    <row r="239" customFormat="false" ht="9.75" hidden="false" customHeight="true" outlineLevel="0" collapsed="false">
      <c r="A239" s="506" t="str">
        <f aca="false">'12.lan'!D556</f>
        <v>Average Americas</v>
      </c>
      <c r="B239" s="506" t="s">
        <v>279</v>
      </c>
      <c r="C239" s="512" t="n">
        <v>1.17486233777459</v>
      </c>
      <c r="D239" s="512"/>
      <c r="E239" s="506"/>
      <c r="F239" s="509" t="n">
        <v>3.52</v>
      </c>
      <c r="G239" s="506"/>
      <c r="H239" s="457"/>
      <c r="J239" s="506" t="s">
        <v>717</v>
      </c>
    </row>
    <row r="240" customFormat="false" ht="9.75" hidden="false" customHeight="true" outlineLevel="0" collapsed="false">
      <c r="A240" s="506" t="str">
        <f aca="false">'12.lan'!D557</f>
        <v>Average Asia</v>
      </c>
      <c r="B240" s="513" t="s">
        <v>283</v>
      </c>
      <c r="C240" s="512" t="n">
        <v>2.57526049680317</v>
      </c>
      <c r="D240" s="513"/>
      <c r="E240" s="506"/>
      <c r="F240" s="512" t="n">
        <v>4.47</v>
      </c>
      <c r="G240" s="506"/>
      <c r="H240" s="457"/>
      <c r="J240" s="506" t="s">
        <v>718</v>
      </c>
    </row>
    <row r="241" customFormat="false" ht="9.75" hidden="false" customHeight="true" outlineLevel="0" collapsed="false">
      <c r="A241" s="506" t="str">
        <f aca="false">'12.lan'!D558</f>
        <v>Average Europe</v>
      </c>
      <c r="B241" s="506" t="s">
        <v>289</v>
      </c>
      <c r="C241" s="512" t="n">
        <v>1.03314026740667</v>
      </c>
      <c r="D241" s="512"/>
      <c r="E241" s="506"/>
      <c r="F241" s="512" t="n">
        <v>2.55</v>
      </c>
      <c r="G241" s="506"/>
      <c r="H241" s="457"/>
      <c r="J241" s="506" t="s">
        <v>719</v>
      </c>
    </row>
    <row r="242" customFormat="false" ht="9.75" hidden="false" customHeight="true" outlineLevel="0" collapsed="false">
      <c r="A242" s="506" t="str">
        <f aca="false">'12.lan'!D559</f>
        <v>Average Oceania</v>
      </c>
      <c r="B242" s="513" t="s">
        <v>300</v>
      </c>
      <c r="C242" s="512" t="n">
        <v>1.49858687129258</v>
      </c>
      <c r="D242" s="512"/>
      <c r="E242" s="506"/>
      <c r="F242" s="512" t="n">
        <v>4.05</v>
      </c>
      <c r="G242" s="506"/>
      <c r="H242" s="457"/>
      <c r="J242" s="506" t="s">
        <v>720</v>
      </c>
    </row>
    <row r="243" s="456" customFormat="true" ht="9.75" hidden="false" customHeight="true" outlineLevel="0" collapsed="false">
      <c r="A243" s="506" t="n">
        <f aca="false">'12.lan'!D560</f>
        <v>0</v>
      </c>
      <c r="C243" s="456" t="n">
        <v>1.00304566871495</v>
      </c>
      <c r="E243" s="514"/>
      <c r="F243" s="514" t="n">
        <v>3.23809523809524</v>
      </c>
      <c r="G243" s="515"/>
      <c r="H243" s="457"/>
      <c r="J243" s="456" t="s">
        <v>721</v>
      </c>
    </row>
    <row r="244" s="456" customFormat="true" ht="9.75" hidden="false" customHeight="true" outlineLevel="0" collapsed="false">
      <c r="C244" s="456" t="n">
        <v>1.83434611496898</v>
      </c>
      <c r="E244" s="514"/>
      <c r="F244" s="514"/>
      <c r="G244" s="515"/>
      <c r="H244" s="457"/>
    </row>
    <row r="245" s="456" customFormat="true" ht="9.75" hidden="false" customHeight="true" outlineLevel="0" collapsed="false">
      <c r="C245" s="508" t="n">
        <v>3.72318750786458</v>
      </c>
      <c r="D245" s="508"/>
      <c r="E245" s="516"/>
      <c r="F245" s="516"/>
      <c r="G245" s="517"/>
      <c r="H245" s="507"/>
      <c r="I245" s="508"/>
    </row>
    <row r="246" s="456" customFormat="true" ht="9.75" hidden="false" customHeight="true" outlineLevel="0" collapsed="false">
      <c r="E246" s="514"/>
      <c r="F246" s="514"/>
      <c r="G246" s="515"/>
      <c r="H246" s="457"/>
    </row>
    <row r="247" s="456" customFormat="true" ht="9.75" hidden="false" customHeight="true" outlineLevel="0" collapsed="false">
      <c r="E247" s="514"/>
      <c r="F247" s="514"/>
      <c r="G247" s="515"/>
      <c r="H247" s="457"/>
    </row>
    <row r="248" s="456" customFormat="true" ht="9.75" hidden="false" customHeight="true" outlineLevel="0" collapsed="false">
      <c r="E248" s="514"/>
      <c r="F248" s="514"/>
      <c r="G248" s="515"/>
      <c r="H248" s="457"/>
    </row>
    <row r="249" s="456" customFormat="true" ht="9.75" hidden="false" customHeight="true" outlineLevel="0" collapsed="false">
      <c r="E249" s="514"/>
      <c r="F249" s="514"/>
      <c r="G249" s="515"/>
      <c r="H249" s="457"/>
    </row>
    <row r="250" s="456" customFormat="true" ht="9.75" hidden="false" customHeight="true" outlineLevel="0" collapsed="false">
      <c r="E250" s="514"/>
      <c r="F250" s="514"/>
      <c r="G250" s="515"/>
      <c r="H250" s="457"/>
    </row>
    <row r="251" s="456" customFormat="true" ht="9.75" hidden="false" customHeight="true" outlineLevel="0" collapsed="false">
      <c r="E251" s="514"/>
      <c r="F251" s="514"/>
      <c r="G251" s="515"/>
      <c r="H251" s="457"/>
    </row>
    <row r="252" s="456" customFormat="true" ht="9.75" hidden="false" customHeight="true" outlineLevel="0" collapsed="false">
      <c r="E252" s="514"/>
      <c r="F252" s="514"/>
      <c r="G252" s="515"/>
      <c r="H252" s="457"/>
    </row>
    <row r="253" s="456" customFormat="true" ht="9.75" hidden="false" customHeight="true" outlineLevel="0" collapsed="false">
      <c r="E253" s="514"/>
      <c r="F253" s="514"/>
      <c r="G253" s="515"/>
      <c r="H253" s="457"/>
    </row>
    <row r="254" s="456" customFormat="true" ht="9.75" hidden="false" customHeight="true" outlineLevel="0" collapsed="false">
      <c r="E254" s="514"/>
      <c r="F254" s="514"/>
      <c r="G254" s="515"/>
      <c r="H254" s="457"/>
    </row>
    <row r="255" s="456" customFormat="true" ht="9.75" hidden="false" customHeight="true" outlineLevel="0" collapsed="false">
      <c r="E255" s="514"/>
      <c r="F255" s="514"/>
      <c r="G255" s="515"/>
      <c r="H255" s="457"/>
    </row>
    <row r="256" s="456" customFormat="true" ht="9.75" hidden="false" customHeight="true" outlineLevel="0" collapsed="false">
      <c r="E256" s="514"/>
      <c r="F256" s="514"/>
      <c r="G256" s="515"/>
      <c r="H256" s="457"/>
    </row>
    <row r="257" s="456" customFormat="true" ht="9.75" hidden="false" customHeight="true" outlineLevel="0" collapsed="false">
      <c r="E257" s="514"/>
      <c r="F257" s="514"/>
      <c r="G257" s="515"/>
      <c r="H257" s="457"/>
    </row>
    <row r="258" s="456" customFormat="true" ht="9.75" hidden="false" customHeight="true" outlineLevel="0" collapsed="false">
      <c r="E258" s="514"/>
      <c r="F258" s="514"/>
      <c r="G258" s="515"/>
      <c r="H258" s="457"/>
    </row>
    <row r="259" s="456" customFormat="true" ht="9.75" hidden="false" customHeight="true" outlineLevel="0" collapsed="false">
      <c r="E259" s="514"/>
      <c r="F259" s="514"/>
      <c r="G259" s="515"/>
      <c r="H259" s="457"/>
    </row>
    <row r="260" s="456" customFormat="true" ht="9.75" hidden="false" customHeight="true" outlineLevel="0" collapsed="false">
      <c r="E260" s="514"/>
      <c r="F260" s="514"/>
      <c r="G260" s="515"/>
      <c r="H260" s="457"/>
    </row>
    <row r="261" s="456" customFormat="true" ht="9.75" hidden="false" customHeight="true" outlineLevel="0" collapsed="false">
      <c r="E261" s="514"/>
      <c r="F261" s="514"/>
      <c r="G261" s="515"/>
      <c r="H261" s="457"/>
    </row>
    <row r="262" s="456" customFormat="true" ht="9.75" hidden="false" customHeight="true" outlineLevel="0" collapsed="false">
      <c r="E262" s="514"/>
      <c r="F262" s="514"/>
      <c r="G262" s="515"/>
      <c r="H262" s="457"/>
    </row>
    <row r="263" s="456" customFormat="true" ht="9.75" hidden="false" customHeight="true" outlineLevel="0" collapsed="false">
      <c r="E263" s="514"/>
      <c r="F263" s="514"/>
      <c r="G263" s="515"/>
      <c r="H263" s="457"/>
    </row>
    <row r="264" s="456" customFormat="true" ht="9.75" hidden="false" customHeight="true" outlineLevel="0" collapsed="false">
      <c r="E264" s="514"/>
      <c r="F264" s="514"/>
      <c r="G264" s="515"/>
      <c r="H264" s="457"/>
    </row>
    <row r="265" s="456" customFormat="true" ht="9.75" hidden="false" customHeight="true" outlineLevel="0" collapsed="false">
      <c r="E265" s="514"/>
      <c r="F265" s="514"/>
      <c r="G265" s="515"/>
      <c r="H265" s="457"/>
    </row>
    <row r="266" s="456" customFormat="true" ht="9.75" hidden="false" customHeight="true" outlineLevel="0" collapsed="false">
      <c r="E266" s="514"/>
      <c r="F266" s="514"/>
      <c r="G266" s="515"/>
      <c r="H266" s="457"/>
    </row>
    <row r="267" s="456" customFormat="true" ht="9.75" hidden="false" customHeight="true" outlineLevel="0" collapsed="false">
      <c r="E267" s="514"/>
      <c r="F267" s="514"/>
      <c r="G267" s="515"/>
      <c r="H267" s="457"/>
    </row>
    <row r="268" s="456" customFormat="true" ht="9.75" hidden="false" customHeight="true" outlineLevel="0" collapsed="false">
      <c r="E268" s="514"/>
      <c r="F268" s="514"/>
      <c r="G268" s="515"/>
      <c r="H268" s="457"/>
    </row>
    <row r="269" s="456" customFormat="true" ht="9.75" hidden="false" customHeight="true" outlineLevel="0" collapsed="false">
      <c r="E269" s="514"/>
      <c r="F269" s="514"/>
      <c r="G269" s="515"/>
      <c r="H269" s="457"/>
    </row>
    <row r="270" s="456" customFormat="true" ht="9.75" hidden="false" customHeight="true" outlineLevel="0" collapsed="false">
      <c r="E270" s="514"/>
      <c r="F270" s="514"/>
      <c r="G270" s="515"/>
      <c r="H270" s="457"/>
    </row>
    <row r="271" s="456" customFormat="true" ht="9.75" hidden="false" customHeight="true" outlineLevel="0" collapsed="false">
      <c r="E271" s="514"/>
      <c r="F271" s="514"/>
      <c r="G271" s="515"/>
      <c r="H271" s="457"/>
    </row>
    <row r="272" s="456" customFormat="true" ht="9.75" hidden="false" customHeight="true" outlineLevel="0" collapsed="false">
      <c r="E272" s="514"/>
      <c r="F272" s="514"/>
      <c r="G272" s="515"/>
      <c r="H272" s="457"/>
    </row>
    <row r="273" s="456" customFormat="true" ht="9.75" hidden="false" customHeight="true" outlineLevel="0" collapsed="false">
      <c r="E273" s="514"/>
      <c r="F273" s="514"/>
      <c r="G273" s="515"/>
      <c r="H273" s="457"/>
    </row>
    <row r="274" s="456" customFormat="true" ht="9.75" hidden="false" customHeight="true" outlineLevel="0" collapsed="false">
      <c r="E274" s="514"/>
      <c r="F274" s="514"/>
      <c r="G274" s="515"/>
      <c r="H274" s="457"/>
    </row>
    <row r="275" s="456" customFormat="true" ht="9.75" hidden="false" customHeight="true" outlineLevel="0" collapsed="false">
      <c r="E275" s="514"/>
      <c r="F275" s="514"/>
      <c r="G275" s="515"/>
      <c r="H275" s="457"/>
    </row>
    <row r="276" s="456" customFormat="true" ht="9.75" hidden="false" customHeight="true" outlineLevel="0" collapsed="false">
      <c r="E276" s="514"/>
      <c r="F276" s="514"/>
      <c r="G276" s="515"/>
      <c r="H276" s="457"/>
    </row>
    <row r="277" customFormat="false" ht="9.75" hidden="false" customHeight="true" outlineLevel="0" collapsed="false">
      <c r="B277" s="508"/>
      <c r="C277" s="508"/>
      <c r="D277" s="508"/>
      <c r="E277" s="516"/>
      <c r="F277" s="516"/>
      <c r="G277" s="517"/>
      <c r="H277" s="507"/>
      <c r="I277" s="508"/>
    </row>
    <row r="278" s="456" customFormat="true" ht="9.75" hidden="false" customHeight="true" outlineLevel="0" collapsed="false">
      <c r="E278" s="514"/>
      <c r="F278" s="514"/>
      <c r="G278" s="515"/>
      <c r="H278" s="457"/>
      <c r="I278" s="510"/>
    </row>
    <row r="279" s="456" customFormat="true" ht="9.75" hidden="false" customHeight="true" outlineLevel="0" collapsed="false">
      <c r="E279" s="514"/>
      <c r="F279" s="514"/>
      <c r="G279" s="515"/>
      <c r="H279" s="457"/>
    </row>
    <row r="280" s="456" customFormat="true" ht="9.75" hidden="false" customHeight="true" outlineLevel="0" collapsed="false">
      <c r="E280" s="514"/>
      <c r="F280" s="514"/>
      <c r="G280" s="515"/>
      <c r="H280" s="457"/>
    </row>
    <row r="281" s="456" customFormat="true" ht="9.75" hidden="false" customHeight="true" outlineLevel="0" collapsed="false">
      <c r="E281" s="514"/>
      <c r="F281" s="514"/>
      <c r="G281" s="515"/>
      <c r="H281" s="457"/>
    </row>
    <row r="282" s="456" customFormat="true" ht="9.75" hidden="false" customHeight="true" outlineLevel="0" collapsed="false">
      <c r="E282" s="514"/>
      <c r="F282" s="514"/>
      <c r="G282" s="515"/>
      <c r="H282" s="457"/>
    </row>
    <row r="283" s="456" customFormat="true" ht="9.75" hidden="false" customHeight="true" outlineLevel="0" collapsed="false">
      <c r="E283" s="514"/>
      <c r="F283" s="514"/>
      <c r="G283" s="515"/>
      <c r="H283" s="457"/>
    </row>
    <row r="284" s="456" customFormat="true" ht="9.75" hidden="false" customHeight="true" outlineLevel="0" collapsed="false">
      <c r="E284" s="514"/>
      <c r="F284" s="514"/>
      <c r="G284" s="515"/>
      <c r="H284" s="457"/>
    </row>
    <row r="285" s="456" customFormat="true" ht="9.75" hidden="false" customHeight="true" outlineLevel="0" collapsed="false">
      <c r="E285" s="514"/>
      <c r="F285" s="514"/>
      <c r="G285" s="515"/>
      <c r="H285" s="457"/>
    </row>
    <row r="286" s="456" customFormat="true" ht="9.75" hidden="false" customHeight="true" outlineLevel="0" collapsed="false">
      <c r="E286" s="514"/>
      <c r="F286" s="514"/>
      <c r="G286" s="515"/>
      <c r="H286" s="457"/>
    </row>
    <row r="287" s="456" customFormat="true" ht="9.75" hidden="false" customHeight="true" outlineLevel="0" collapsed="false">
      <c r="E287" s="514"/>
      <c r="F287" s="514"/>
      <c r="G287" s="515"/>
      <c r="H287" s="457"/>
    </row>
    <row r="288" s="456" customFormat="true" ht="9.75" hidden="false" customHeight="true" outlineLevel="0" collapsed="false">
      <c r="E288" s="514"/>
      <c r="F288" s="514"/>
      <c r="G288" s="515"/>
      <c r="H288" s="457"/>
    </row>
    <row r="289" s="456" customFormat="true" ht="9.75" hidden="false" customHeight="true" outlineLevel="0" collapsed="false">
      <c r="E289" s="514"/>
      <c r="F289" s="514"/>
      <c r="G289" s="515"/>
      <c r="H289" s="457"/>
    </row>
    <row r="290" s="456" customFormat="true" ht="9.75" hidden="false" customHeight="true" outlineLevel="0" collapsed="false">
      <c r="E290" s="514"/>
      <c r="F290" s="514"/>
      <c r="G290" s="515"/>
      <c r="H290" s="457"/>
    </row>
    <row r="291" s="456" customFormat="true" ht="9.75" hidden="false" customHeight="true" outlineLevel="0" collapsed="false">
      <c r="E291" s="514"/>
      <c r="F291" s="514"/>
      <c r="G291" s="515"/>
      <c r="H291" s="457"/>
    </row>
    <row r="292" s="456" customFormat="true" ht="9.75" hidden="false" customHeight="true" outlineLevel="0" collapsed="false">
      <c r="E292" s="514"/>
      <c r="F292" s="514"/>
      <c r="G292" s="515"/>
      <c r="H292" s="457"/>
    </row>
    <row r="293" s="456" customFormat="true" ht="9.75" hidden="false" customHeight="true" outlineLevel="0" collapsed="false">
      <c r="E293" s="518"/>
      <c r="F293" s="518"/>
      <c r="G293" s="519"/>
      <c r="H293" s="457"/>
    </row>
  </sheetData>
  <sheetProtection algorithmName="SHA-512" hashValue="VYHvLfbEpIGwZn+Ejt5MhlUooGoZmVW7lSquBiXoCR/qOtclUKRrpFQHBaeLuA3aP1xLXlvi42jCQT6xwldalA==" saltValue="5kgwDJQotriV/koxoLTbhw==" spinCount="100000" sheet="true" objects="true" scenarios="true"/>
  <mergeCells count="6">
    <mergeCell ref="A1:G1"/>
    <mergeCell ref="L2:N2"/>
    <mergeCell ref="O2:Q2"/>
    <mergeCell ref="B3:B8"/>
    <mergeCell ref="G3:G8"/>
    <mergeCell ref="J8:M8"/>
  </mergeCells>
  <hyperlinks>
    <hyperlink ref="E19" r:id="rId1" display="http://data.worldbank.org/indicator/NY.GDP.MKTP.PP.CD"/>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65535"/>
  <sheetViews>
    <sheetView showFormulas="false" showGridLines="true" showRowColHeaders="true" showZeros="true" rightToLeft="false" tabSelected="false" showOutlineSymbols="true" defaultGridColor="true" view="normal" topLeftCell="A49" colorId="64" zoomScale="110" zoomScaleNormal="110" zoomScalePageLayoutView="100" workbookViewId="0">
      <pane xSplit="0" ySplit="5235" topLeftCell="A1" activePane="topLeft" state="split"/>
      <selection pane="topLeft" activeCell="D52" activeCellId="0" sqref="D52"/>
      <selection pane="bottomLeft" activeCell="A1" activeCellId="0" sqref="A1"/>
    </sheetView>
  </sheetViews>
  <sheetFormatPr defaultColWidth="10.2890625" defaultRowHeight="13.5" zeroHeight="false" outlineLevelRow="0" outlineLevelCol="0"/>
  <cols>
    <col collapsed="false" customWidth="false" hidden="false" outlineLevel="0" max="1" min="1" style="520" width="10.28"/>
    <col collapsed="false" customWidth="true" hidden="false" outlineLevel="0" max="2" min="2" style="520" width="27.29"/>
    <col collapsed="false" customWidth="false" hidden="false" outlineLevel="0" max="3" min="3" style="520" width="10.28"/>
    <col collapsed="false" customWidth="true" hidden="false" outlineLevel="0" max="4" min="4" style="520" width="56.72"/>
    <col collapsed="false" customWidth="true" hidden="false" outlineLevel="0" max="5" min="5" style="520" width="43"/>
    <col collapsed="false" customWidth="true" hidden="false" outlineLevel="0" max="6" min="6" style="521" width="43"/>
    <col collapsed="false" customWidth="true" hidden="false" outlineLevel="0" max="9" min="7" style="520" width="43"/>
    <col collapsed="false" customWidth="false" hidden="false" outlineLevel="0" max="10" min="10" style="520" width="10.28"/>
    <col collapsed="false" customWidth="false" hidden="false" outlineLevel="0" max="11" min="11" style="522" width="10.28"/>
    <col collapsed="false" customWidth="false" hidden="false" outlineLevel="0" max="1024" min="12" style="520" width="10.28"/>
  </cols>
  <sheetData>
    <row r="1" customFormat="false" ht="19.5" hidden="false" customHeight="true" outlineLevel="0" collapsed="false">
      <c r="C1" s="523" t="n">
        <f aca="false">VLOOKUP('0. Intro'!B1,'12.lan'!B2:C12,2,FALSE())</f>
        <v>3</v>
      </c>
      <c r="D1" s="524" t="n">
        <f aca="false">HLOOKUP($C$1,$E$1:$V$4910,ROW(D1))</f>
        <v>3</v>
      </c>
      <c r="E1" s="520" t="n">
        <v>1</v>
      </c>
      <c r="F1" s="521" t="n">
        <v>2</v>
      </c>
      <c r="G1" s="520" t="n">
        <v>3</v>
      </c>
      <c r="H1" s="520" t="n">
        <v>4</v>
      </c>
      <c r="I1" s="520" t="n">
        <v>5</v>
      </c>
    </row>
    <row r="2" customFormat="false" ht="13.5" hidden="false" customHeight="true" outlineLevel="0" collapsed="false">
      <c r="A2" s="520" t="n">
        <v>3</v>
      </c>
      <c r="B2" s="520" t="s">
        <v>722</v>
      </c>
      <c r="C2" s="520" t="n">
        <f aca="false">A2</f>
        <v>3</v>
      </c>
      <c r="D2" s="524" t="str">
        <f aca="false">HLOOKUP($C$1,$E$1:$V$4910,ROW(D2))</f>
        <v>English</v>
      </c>
      <c r="E2" s="525" t="s">
        <v>723</v>
      </c>
      <c r="F2" s="525" t="s">
        <v>724</v>
      </c>
      <c r="G2" s="526" t="s">
        <v>0</v>
      </c>
      <c r="H2" s="527" t="s">
        <v>725</v>
      </c>
      <c r="I2" s="525" t="s">
        <v>726</v>
      </c>
    </row>
    <row r="3" customFormat="false" ht="13.5" hidden="false" customHeight="true" outlineLevel="0" collapsed="false">
      <c r="A3" s="520" t="n">
        <v>1</v>
      </c>
      <c r="B3" s="521" t="s">
        <v>723</v>
      </c>
      <c r="C3" s="520" t="n">
        <f aca="false">A3</f>
        <v>1</v>
      </c>
      <c r="D3" s="524" t="n">
        <f aca="false">HLOOKUP($C$1,$E$1:$V$4910,ROW(D3))</f>
        <v>0</v>
      </c>
      <c r="E3" s="521"/>
      <c r="G3" s="528"/>
      <c r="H3" s="521"/>
      <c r="I3" s="521"/>
    </row>
    <row r="4" customFormat="false" ht="15.75" hidden="false" customHeight="true" outlineLevel="0" collapsed="false">
      <c r="A4" s="520" t="n">
        <v>2</v>
      </c>
      <c r="B4" s="521" t="s">
        <v>724</v>
      </c>
      <c r="C4" s="520" t="n">
        <f aca="false">A4</f>
        <v>2</v>
      </c>
      <c r="D4" s="524" t="str">
        <f aca="false">HLOOKUP($C$1,$E$1:$V$4910,ROW(D4))</f>
        <v>BALANCE SHEET CALCULATOR</v>
      </c>
      <c r="E4" s="521" t="s">
        <v>727</v>
      </c>
      <c r="F4" s="529" t="s">
        <v>728</v>
      </c>
      <c r="G4" s="528" t="s">
        <v>729</v>
      </c>
      <c r="H4" s="521" t="s">
        <v>730</v>
      </c>
      <c r="I4" s="521" t="s">
        <v>731</v>
      </c>
    </row>
    <row r="5" customFormat="false" ht="15.75" hidden="false" customHeight="true" outlineLevel="0" collapsed="false">
      <c r="A5" s="520" t="n">
        <v>3</v>
      </c>
      <c r="B5" s="521" t="s">
        <v>0</v>
      </c>
      <c r="C5" s="520" t="n">
        <f aca="false">A5</f>
        <v>3</v>
      </c>
      <c r="D5" s="524" t="str">
        <f aca="false">HLOOKUP($C$1,$E$1:$V$4910,ROW(D5))</f>
        <v>© ECG</v>
      </c>
      <c r="E5" s="521" t="s">
        <v>732</v>
      </c>
      <c r="F5" s="529" t="s">
        <v>733</v>
      </c>
      <c r="G5" s="528" t="s">
        <v>734</v>
      </c>
      <c r="H5" s="521" t="s">
        <v>735</v>
      </c>
      <c r="I5" s="521" t="s">
        <v>736</v>
      </c>
    </row>
    <row r="6" customFormat="false" ht="15.75" hidden="false" customHeight="true" outlineLevel="0" collapsed="false">
      <c r="A6" s="520" t="n">
        <v>4</v>
      </c>
      <c r="B6" s="527" t="s">
        <v>725</v>
      </c>
      <c r="C6" s="520" t="n">
        <f aca="false">A6</f>
        <v>4</v>
      </c>
      <c r="D6" s="524" t="str">
        <f aca="false">HLOOKUP($C$1,$E$1:$V$4910,ROW(D6))</f>
        <v>Version</v>
      </c>
      <c r="E6" s="530" t="s">
        <v>178</v>
      </c>
      <c r="F6" s="530" t="s">
        <v>737</v>
      </c>
      <c r="G6" s="531" t="s">
        <v>178</v>
      </c>
      <c r="H6" s="521" t="s">
        <v>738</v>
      </c>
      <c r="I6" s="521" t="s">
        <v>178</v>
      </c>
    </row>
    <row r="7" customFormat="false" ht="15.75" hidden="false" customHeight="true" outlineLevel="0" collapsed="false">
      <c r="A7" s="520" t="n">
        <v>5</v>
      </c>
      <c r="B7" s="521" t="s">
        <v>726</v>
      </c>
      <c r="C7" s="520" t="n">
        <f aca="false">A7</f>
        <v>5</v>
      </c>
      <c r="D7" s="524" t="str">
        <f aca="false">HLOOKUP($C$1,$E$1:$V$4910,ROW(D7))</f>
        <v>WELCOME!</v>
      </c>
      <c r="E7" s="529" t="s">
        <v>739</v>
      </c>
      <c r="F7" s="529" t="s">
        <v>740</v>
      </c>
      <c r="G7" s="532" t="s">
        <v>741</v>
      </c>
      <c r="H7" s="521" t="s">
        <v>742</v>
      </c>
      <c r="I7" s="521" t="s">
        <v>743</v>
      </c>
    </row>
    <row r="8" customFormat="false" ht="81" hidden="false" customHeight="true" outlineLevel="0" collapsed="false">
      <c r="A8" s="520" t="n">
        <v>6</v>
      </c>
      <c r="B8" s="521"/>
      <c r="C8" s="520" t="n">
        <f aca="false">A8</f>
        <v>6</v>
      </c>
      <c r="D8" s="524" t="str">
        <f aca="false">HLOOKUP($C$1,$E$1:$V$4910,ROW(D8))</f>
        <v>This tool is for calculating the overall Common Good Points for your company or organisation. It complements the Common Good Report and has to be used together with it. Have fun with your calculation!</v>
      </c>
      <c r="E8" s="521" t="s">
        <v>744</v>
      </c>
      <c r="F8" s="521" t="s">
        <v>745</v>
      </c>
      <c r="G8" s="533" t="s">
        <v>746</v>
      </c>
      <c r="H8" s="521" t="s">
        <v>747</v>
      </c>
      <c r="I8" s="521" t="s">
        <v>748</v>
      </c>
    </row>
    <row r="9" customFormat="false" ht="28.5" hidden="false" customHeight="true" outlineLevel="0" collapsed="false">
      <c r="A9" s="520" t="n">
        <v>7</v>
      </c>
      <c r="B9" s="521"/>
      <c r="C9" s="520" t="n">
        <f aca="false">A9</f>
        <v>7</v>
      </c>
      <c r="D9" s="524" t="str">
        <f aca="false">HLOOKUP($C$1,$E$1:$V$4910,ROW(D9))</f>
        <v>HOW TO USE THE BALANCE SHEET CALCULATOR:</v>
      </c>
      <c r="E9" s="521" t="s">
        <v>749</v>
      </c>
      <c r="F9" s="521" t="s">
        <v>750</v>
      </c>
      <c r="G9" s="528" t="s">
        <v>751</v>
      </c>
      <c r="H9" s="521" t="s">
        <v>752</v>
      </c>
      <c r="I9" s="521" t="s">
        <v>753</v>
      </c>
    </row>
    <row r="10" customFormat="false" ht="15.75" hidden="false" customHeight="true" outlineLevel="0" collapsed="false">
      <c r="A10" s="520" t="n">
        <v>8</v>
      </c>
      <c r="B10" s="521"/>
      <c r="C10" s="520" t="n">
        <f aca="false">A10</f>
        <v>8</v>
      </c>
      <c r="D10" s="524" t="str">
        <f aca="false">HLOOKUP($C$1,$E$1:$V$4910,ROW(D10))</f>
        <v>1. General</v>
      </c>
      <c r="E10" s="521" t="s">
        <v>754</v>
      </c>
      <c r="F10" s="529" t="s">
        <v>755</v>
      </c>
      <c r="G10" s="528" t="s">
        <v>756</v>
      </c>
      <c r="H10" s="521" t="s">
        <v>756</v>
      </c>
      <c r="I10" s="521" t="s">
        <v>757</v>
      </c>
    </row>
    <row r="11" customFormat="false" ht="28.5" hidden="false" customHeight="true" outlineLevel="0" collapsed="false">
      <c r="A11" s="520" t="n">
        <v>9</v>
      </c>
      <c r="B11" s="521"/>
      <c r="C11" s="520" t="n">
        <f aca="false">A11</f>
        <v>9</v>
      </c>
      <c r="D11" s="524" t="str">
        <f aca="false">HLOOKUP($C$1,$E$1:$V$4910,ROW(D11))</f>
        <v>You can enter general information about your company or organisation in this section.</v>
      </c>
      <c r="E11" s="521" t="s">
        <v>758</v>
      </c>
      <c r="F11" s="521" t="s">
        <v>759</v>
      </c>
      <c r="G11" s="528" t="s">
        <v>760</v>
      </c>
      <c r="H11" s="521" t="s">
        <v>761</v>
      </c>
      <c r="I11" s="521" t="s">
        <v>762</v>
      </c>
    </row>
    <row r="12" customFormat="false" ht="41.25" hidden="false" customHeight="true" outlineLevel="0" collapsed="false">
      <c r="A12" s="520" t="n">
        <v>10</v>
      </c>
      <c r="B12" s="521"/>
      <c r="C12" s="520" t="n">
        <f aca="false">A12</f>
        <v>10</v>
      </c>
      <c r="D12" s="524" t="str">
        <f aca="false">HLOOKUP($C$1,$E$1:$V$4910,ROW(D12))</f>
        <v>All fields in this section must be completed as they are essential for the weighting of each theme.</v>
      </c>
      <c r="E12" s="521" t="s">
        <v>763</v>
      </c>
      <c r="F12" s="521" t="s">
        <v>764</v>
      </c>
      <c r="G12" s="528" t="s">
        <v>765</v>
      </c>
      <c r="H12" s="521" t="s">
        <v>766</v>
      </c>
      <c r="I12" s="521" t="s">
        <v>767</v>
      </c>
    </row>
    <row r="13" customFormat="false" ht="54.75" hidden="false" customHeight="true" outlineLevel="0" collapsed="false">
      <c r="A13" s="520" t="n">
        <v>11</v>
      </c>
      <c r="B13" s="521"/>
      <c r="C13" s="534"/>
      <c r="D13" s="524" t="str">
        <f aca="false">HLOOKUP($C$1,$E$1:$V$4910,ROW(D13))</f>
        <v>For each theme (A1, B1, ...) a certain maximum number of Common Good Points can be achieved. To evaluate how many points your company scores, follow these steps:</v>
      </c>
      <c r="E13" s="521" t="s">
        <v>768</v>
      </c>
      <c r="F13" s="521" t="s">
        <v>769</v>
      </c>
      <c r="G13" s="528" t="s">
        <v>770</v>
      </c>
      <c r="H13" s="521" t="s">
        <v>771</v>
      </c>
      <c r="I13" s="521" t="s">
        <v>772</v>
      </c>
    </row>
    <row r="14" customFormat="false" ht="68.25" hidden="false" customHeight="true" outlineLevel="0" collapsed="false">
      <c r="A14" s="520" t="n">
        <v>12</v>
      </c>
      <c r="B14" s="521"/>
      <c r="C14" s="534"/>
      <c r="D14" s="524" t="str">
        <f aca="false">HLOOKUP($C$1,$E$1:$V$4910,ROW(D14))</f>
        <v>Describe the current status and potential for improvement for the various aspects under key headings. Use the workbook as a reference. (This is optional and not absolutely necessary for the calculation.)</v>
      </c>
      <c r="E14" s="535" t="s">
        <v>773</v>
      </c>
      <c r="F14" s="521" t="s">
        <v>774</v>
      </c>
      <c r="G14" s="528" t="s">
        <v>775</v>
      </c>
      <c r="H14" s="521" t="s">
        <v>776</v>
      </c>
      <c r="I14" s="521" t="s">
        <v>777</v>
      </c>
    </row>
    <row r="15" customFormat="false" ht="94.5" hidden="false" customHeight="true" outlineLevel="0" collapsed="false">
      <c r="A15" s="520" t="n">
        <v>13</v>
      </c>
      <c r="B15" s="521"/>
      <c r="C15" s="534"/>
      <c r="D15" s="524" t="str">
        <f aca="false">HLOOKUP($C$1,$E$1:$V$4910,ROW(D15))</f>
        <v>Based on these descriptions, indicate on a scale of 0-10 how far you consider the respective aspect is met (Achievement level). The criteria for choosing the correct value can be found in the Workbook.</v>
      </c>
      <c r="E15" s="536" t="s">
        <v>778</v>
      </c>
      <c r="F15" s="521" t="s">
        <v>779</v>
      </c>
      <c r="G15" s="528" t="s">
        <v>780</v>
      </c>
      <c r="H15" s="521" t="s">
        <v>781</v>
      </c>
      <c r="I15" s="521" t="s">
        <v>782</v>
      </c>
    </row>
    <row r="16" customFormat="false" ht="43.5" hidden="false" customHeight="true" outlineLevel="0" collapsed="false">
      <c r="A16" s="520" t="n">
        <v>14</v>
      </c>
      <c r="B16" s="521"/>
      <c r="C16" s="534"/>
      <c r="D16" s="524" t="str">
        <f aca="false">HLOOKUP($C$1,$E$1:$V$4910,ROW(D16))</f>
        <v>Negative aspects are allocated negative points according to the descriptions set out in the Workbook.</v>
      </c>
      <c r="E16" s="521" t="s">
        <v>783</v>
      </c>
      <c r="F16" s="521" t="s">
        <v>784</v>
      </c>
      <c r="G16" s="528" t="s">
        <v>785</v>
      </c>
      <c r="H16" s="521" t="s">
        <v>786</v>
      </c>
      <c r="I16" s="521" t="s">
        <v>787</v>
      </c>
    </row>
    <row r="17" customFormat="false" ht="124.5" hidden="false" customHeight="true" outlineLevel="0" collapsed="false">
      <c r="A17" s="520" t="n">
        <v>15</v>
      </c>
      <c r="B17" s="521"/>
      <c r="C17" s="534"/>
      <c r="D17" s="524" t="str">
        <f aca="false">HLOOKUP($C$1,$E$1:$V$4910,ROW(D17))</f>
        <v>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v>
      </c>
      <c r="E17" s="537" t="s">
        <v>788</v>
      </c>
      <c r="F17" s="521" t="s">
        <v>789</v>
      </c>
      <c r="G17" s="528" t="s">
        <v>790</v>
      </c>
      <c r="H17" s="521" t="s">
        <v>791</v>
      </c>
      <c r="I17" s="521" t="s">
        <v>792</v>
      </c>
    </row>
    <row r="18" customFormat="false" ht="54.75" hidden="false" customHeight="true" outlineLevel="0" collapsed="false">
      <c r="A18" s="520" t="n">
        <v>16</v>
      </c>
      <c r="B18" s="521"/>
      <c r="C18" s="534"/>
      <c r="D18" s="524" t="str">
        <f aca="false">HLOOKUP($C$1,$E$1:$V$4910,ROW(D18))</f>
        <v>The calculation automatically weights each theme’s total value against the data in the ‘Company details’ section and rounds it to a whole-number multiple of 10%.</v>
      </c>
      <c r="E18" s="521" t="s">
        <v>793</v>
      </c>
      <c r="F18" s="521" t="s">
        <v>794</v>
      </c>
      <c r="G18" s="528" t="s">
        <v>795</v>
      </c>
      <c r="H18" s="521" t="s">
        <v>796</v>
      </c>
      <c r="I18" s="521" t="s">
        <v>797</v>
      </c>
    </row>
    <row r="19" customFormat="false" ht="28.5" hidden="false" customHeight="true" outlineLevel="0" collapsed="false">
      <c r="B19" s="521"/>
      <c r="C19" s="534"/>
      <c r="D19" s="524" t="str">
        <f aca="false">HLOOKUP($C$1,$E$1:$V$4910,ROW(D19))</f>
        <v>The ECG-Matrix displays your result in a table.</v>
      </c>
      <c r="E19" s="521" t="s">
        <v>798</v>
      </c>
      <c r="F19" s="521" t="s">
        <v>799</v>
      </c>
      <c r="G19" s="528" t="s">
        <v>800</v>
      </c>
      <c r="H19" s="521" t="s">
        <v>801</v>
      </c>
      <c r="I19" s="521" t="s">
        <v>802</v>
      </c>
    </row>
    <row r="20" customFormat="false" ht="41.25" hidden="false" customHeight="true" outlineLevel="0" collapsed="false">
      <c r="B20" s="534"/>
      <c r="C20" s="534"/>
      <c r="D20" s="524" t="str">
        <f aca="false">HLOOKUP($C$1,$E$1:$V$4910,ROW(D20))</f>
        <v>The ECG Matrix displays your result in a table.</v>
      </c>
      <c r="E20" s="521" t="s">
        <v>803</v>
      </c>
      <c r="F20" s="521" t="s">
        <v>804</v>
      </c>
      <c r="G20" s="528" t="s">
        <v>805</v>
      </c>
      <c r="H20" s="521" t="s">
        <v>806</v>
      </c>
      <c r="I20" s="521" t="s">
        <v>802</v>
      </c>
    </row>
    <row r="21" customFormat="false" ht="41.25" hidden="false" customHeight="true" outlineLevel="0" collapsed="false">
      <c r="B21" s="534"/>
      <c r="C21" s="534"/>
      <c r="D21" s="524" t="str">
        <f aca="false">HLOOKUP($C$1,$E$1:$V$4910,ROW(D21))</f>
        <v>The values-star displays your result arranged by value as a graphic.</v>
      </c>
      <c r="E21" s="521" t="s">
        <v>807</v>
      </c>
      <c r="F21" s="521" t="s">
        <v>808</v>
      </c>
      <c r="G21" s="528" t="s">
        <v>809</v>
      </c>
      <c r="H21" s="521" t="s">
        <v>810</v>
      </c>
      <c r="I21" s="521" t="s">
        <v>811</v>
      </c>
    </row>
    <row r="22" customFormat="false" ht="41.25" hidden="false" customHeight="true" outlineLevel="0" collapsed="false">
      <c r="B22" s="534"/>
      <c r="C22" s="534"/>
      <c r="D22" s="524" t="str">
        <f aca="false">HLOOKUP($C$1,$E$1:$V$4910,ROW(D22))</f>
        <v>The group-star displays your result arranged by stakeholder as a graphic.</v>
      </c>
      <c r="E22" s="535" t="s">
        <v>812</v>
      </c>
      <c r="F22" s="521" t="s">
        <v>813</v>
      </c>
      <c r="G22" s="528" t="s">
        <v>814</v>
      </c>
      <c r="H22" s="521" t="s">
        <v>815</v>
      </c>
      <c r="I22" s="521" t="s">
        <v>816</v>
      </c>
    </row>
    <row r="23" customFormat="false" ht="28.5" hidden="false" customHeight="true" outlineLevel="0" collapsed="false">
      <c r="B23" s="534"/>
      <c r="C23" s="534"/>
      <c r="D23" s="524" t="str">
        <f aca="false">HLOOKUP($C$1,$E$1:$V$4910,ROW(D23))</f>
        <v>The theme-star displays the result of your themes as a graphic.</v>
      </c>
      <c r="E23" s="527" t="s">
        <v>817</v>
      </c>
      <c r="F23" s="521" t="s">
        <v>818</v>
      </c>
      <c r="G23" s="528" t="s">
        <v>819</v>
      </c>
      <c r="H23" s="521" t="s">
        <v>820</v>
      </c>
      <c r="I23" s="521" t="s">
        <v>821</v>
      </c>
    </row>
    <row r="24" customFormat="false" ht="28.5" hidden="false" customHeight="true" outlineLevel="0" collapsed="false">
      <c r="B24" s="534"/>
      <c r="C24" s="534"/>
      <c r="D24" s="524" t="str">
        <f aca="false">HLOOKUP($C$1,$E$1:$V$4910,ROW(D24))</f>
        <v>This is a description of the weighting model.</v>
      </c>
      <c r="E24" s="521" t="s">
        <v>822</v>
      </c>
      <c r="F24" s="521" t="s">
        <v>823</v>
      </c>
      <c r="G24" s="528" t="s">
        <v>824</v>
      </c>
      <c r="H24" s="521" t="s">
        <v>825</v>
      </c>
      <c r="I24" s="521" t="s">
        <v>826</v>
      </c>
    </row>
    <row r="25" customFormat="false" ht="41.25" hidden="false" customHeight="true" outlineLevel="0" collapsed="false">
      <c r="B25" s="534"/>
      <c r="C25" s="534"/>
      <c r="D25" s="524" t="str">
        <f aca="false">HLOOKUP($C$1,$E$1:$V$4910,ROW(D25))</f>
        <v>This is where the calculation determines how the individual stakeholder groups and themes are weighted.</v>
      </c>
      <c r="E25" s="521" t="s">
        <v>827</v>
      </c>
      <c r="F25" s="521" t="s">
        <v>828</v>
      </c>
      <c r="G25" s="528" t="s">
        <v>829</v>
      </c>
      <c r="H25" s="521" t="s">
        <v>830</v>
      </c>
      <c r="I25" s="521" t="s">
        <v>831</v>
      </c>
    </row>
    <row r="26" customFormat="false" ht="54.75" hidden="false" customHeight="true" outlineLevel="0" collapsed="false">
      <c r="B26" s="534"/>
      <c r="C26" s="534"/>
      <c r="D26" s="524" t="str">
        <f aca="false">HLOOKUP($C$1,$E$1:$V$4910,ROW(D26))</f>
        <v>This contains an assessment of the relevance of supply chains and environmental sustainability for all industry sectors, used in the weighting.</v>
      </c>
      <c r="E26" s="521" t="s">
        <v>832</v>
      </c>
      <c r="F26" s="521" t="s">
        <v>833</v>
      </c>
      <c r="G26" s="528" t="s">
        <v>834</v>
      </c>
      <c r="H26" s="521" t="s">
        <v>835</v>
      </c>
      <c r="I26" s="521" t="s">
        <v>836</v>
      </c>
    </row>
    <row r="27" customFormat="false" ht="28.5" hidden="false" customHeight="true" outlineLevel="0" collapsed="false">
      <c r="B27" s="534"/>
      <c r="C27" s="534"/>
      <c r="D27" s="524" t="str">
        <f aca="false">HLOOKUP($C$1,$E$1:$V$4910,ROW(D27))</f>
        <v>This contains statistics for countries and regions used in the weighting.</v>
      </c>
      <c r="E27" s="521" t="s">
        <v>837</v>
      </c>
      <c r="F27" s="521" t="s">
        <v>838</v>
      </c>
      <c r="G27" s="528" t="s">
        <v>839</v>
      </c>
      <c r="H27" s="521" t="s">
        <v>840</v>
      </c>
      <c r="I27" s="521" t="s">
        <v>841</v>
      </c>
    </row>
    <row r="28" customFormat="false" ht="15.75" hidden="false" customHeight="true" outlineLevel="0" collapsed="false">
      <c r="B28" s="534"/>
      <c r="C28" s="534"/>
      <c r="D28" s="524" t="str">
        <f aca="false">HLOOKUP($C$1,$E$1:$V$4910,ROW(D28))</f>
        <v>2. Company details</v>
      </c>
      <c r="E28" s="521" t="s">
        <v>842</v>
      </c>
      <c r="F28" s="521" t="s">
        <v>843</v>
      </c>
      <c r="G28" s="528" t="s">
        <v>844</v>
      </c>
      <c r="H28" s="521" t="s">
        <v>845</v>
      </c>
      <c r="I28" s="521" t="s">
        <v>846</v>
      </c>
    </row>
    <row r="29" customFormat="false" ht="15.75" hidden="false" customHeight="true" outlineLevel="0" collapsed="false">
      <c r="B29" s="534"/>
      <c r="C29" s="534"/>
      <c r="D29" s="524" t="str">
        <f aca="false">HLOOKUP($C$1,$E$1:$V$4910,ROW(D29))</f>
        <v>3. Scoring</v>
      </c>
      <c r="E29" s="521" t="s">
        <v>847</v>
      </c>
      <c r="F29" s="521" t="s">
        <v>848</v>
      </c>
      <c r="G29" s="528" t="s">
        <v>849</v>
      </c>
      <c r="H29" s="521" t="s">
        <v>850</v>
      </c>
      <c r="I29" s="521" t="s">
        <v>851</v>
      </c>
    </row>
    <row r="30" customFormat="false" ht="15.75" hidden="false" customHeight="true" outlineLevel="0" collapsed="false">
      <c r="B30" s="534"/>
      <c r="C30" s="534"/>
      <c r="D30" s="524" t="str">
        <f aca="false">HLOOKUP($C$1,$E$1:$V$4910,ROW(D30))</f>
        <v>4. ECG Matrix</v>
      </c>
      <c r="E30" s="521" t="s">
        <v>852</v>
      </c>
      <c r="F30" s="521" t="s">
        <v>853</v>
      </c>
      <c r="G30" s="528" t="s">
        <v>854</v>
      </c>
      <c r="H30" s="521" t="s">
        <v>855</v>
      </c>
      <c r="I30" s="521" t="s">
        <v>856</v>
      </c>
    </row>
    <row r="31" customFormat="false" ht="15.75" hidden="false" customHeight="true" outlineLevel="0" collapsed="false">
      <c r="B31" s="534"/>
      <c r="C31" s="534"/>
      <c r="D31" s="524" t="str">
        <f aca="false">HLOOKUP($C$1,$E$1:$V$4910,ROW(D31))</f>
        <v>5. Values star</v>
      </c>
      <c r="E31" s="521" t="s">
        <v>857</v>
      </c>
      <c r="F31" s="521" t="s">
        <v>858</v>
      </c>
      <c r="G31" s="528" t="s">
        <v>859</v>
      </c>
      <c r="H31" s="521" t="s">
        <v>860</v>
      </c>
      <c r="I31" s="521" t="s">
        <v>861</v>
      </c>
    </row>
    <row r="32" customFormat="false" ht="15.75" hidden="false" customHeight="true" outlineLevel="0" collapsed="false">
      <c r="B32" s="534"/>
      <c r="C32" s="534"/>
      <c r="D32" s="524" t="str">
        <f aca="false">HLOOKUP($C$1,$E$1:$V$4910,ROW(D32))</f>
        <v>6. Group star</v>
      </c>
      <c r="E32" s="521" t="s">
        <v>862</v>
      </c>
      <c r="F32" s="521" t="s">
        <v>863</v>
      </c>
      <c r="G32" s="528" t="s">
        <v>864</v>
      </c>
      <c r="H32" s="521" t="s">
        <v>865</v>
      </c>
      <c r="I32" s="521" t="s">
        <v>866</v>
      </c>
    </row>
    <row r="33" customFormat="false" ht="15.75" hidden="false" customHeight="true" outlineLevel="0" collapsed="false">
      <c r="B33" s="534"/>
      <c r="C33" s="534"/>
      <c r="D33" s="524" t="str">
        <f aca="false">HLOOKUP($C$1,$E$1:$V$4910,ROW(D33))</f>
        <v>7. Theme star</v>
      </c>
      <c r="E33" s="521" t="s">
        <v>867</v>
      </c>
      <c r="F33" s="521" t="s">
        <v>868</v>
      </c>
      <c r="G33" s="528" t="s">
        <v>869</v>
      </c>
      <c r="H33" s="521" t="s">
        <v>870</v>
      </c>
      <c r="I33" s="521" t="s">
        <v>871</v>
      </c>
    </row>
    <row r="34" customFormat="false" ht="15.75" hidden="false" customHeight="true" outlineLevel="0" collapsed="false">
      <c r="B34" s="534"/>
      <c r="C34" s="534"/>
      <c r="D34" s="524" t="str">
        <f aca="false">HLOOKUP($C$1,$E$1:$V$4910,ROW(D34))</f>
        <v>8. Weighting model description</v>
      </c>
      <c r="E34" s="521" t="s">
        <v>872</v>
      </c>
      <c r="F34" s="521" t="s">
        <v>873</v>
      </c>
      <c r="G34" s="528" t="s">
        <v>874</v>
      </c>
      <c r="H34" s="521" t="s">
        <v>875</v>
      </c>
      <c r="I34" s="521" t="s">
        <v>876</v>
      </c>
    </row>
    <row r="35" customFormat="false" ht="15.75" hidden="false" customHeight="true" outlineLevel="0" collapsed="false">
      <c r="B35" s="534"/>
      <c r="C35" s="534"/>
      <c r="D35" s="524" t="str">
        <f aca="false">HLOOKUP($C$1,$E$1:$V$4910,ROW(D35))</f>
        <v>9. Weighting (hidden)</v>
      </c>
      <c r="E35" s="521" t="s">
        <v>877</v>
      </c>
      <c r="F35" s="521" t="s">
        <v>878</v>
      </c>
      <c r="G35" s="528" t="s">
        <v>879</v>
      </c>
      <c r="H35" s="521" t="s">
        <v>880</v>
      </c>
      <c r="I35" s="521" t="s">
        <v>881</v>
      </c>
    </row>
    <row r="36" customFormat="false" ht="15.75" hidden="false" customHeight="true" outlineLevel="0" collapsed="false">
      <c r="B36" s="534"/>
      <c r="C36" s="534"/>
      <c r="D36" s="524" t="str">
        <f aca="false">HLOOKUP($C$1,$E$1:$V$4910,ROW(D36))</f>
        <v>10. Industry sectors (hidden)</v>
      </c>
      <c r="E36" s="521" t="s">
        <v>882</v>
      </c>
      <c r="F36" s="521" t="s">
        <v>883</v>
      </c>
      <c r="G36" s="528" t="s">
        <v>884</v>
      </c>
      <c r="H36" s="521" t="s">
        <v>885</v>
      </c>
      <c r="I36" s="521" t="s">
        <v>886</v>
      </c>
    </row>
    <row r="37" customFormat="false" ht="15.75" hidden="false" customHeight="true" outlineLevel="0" collapsed="false">
      <c r="B37" s="534"/>
      <c r="C37" s="534"/>
      <c r="D37" s="524" t="str">
        <f aca="false">HLOOKUP($C$1,$E$1:$V$4910,ROW(D37))</f>
        <v>11. Countries (hidden)</v>
      </c>
      <c r="E37" s="521" t="s">
        <v>887</v>
      </c>
      <c r="F37" s="521" t="s">
        <v>888</v>
      </c>
      <c r="G37" s="528" t="s">
        <v>889</v>
      </c>
      <c r="H37" s="521" t="s">
        <v>890</v>
      </c>
      <c r="I37" s="521" t="s">
        <v>891</v>
      </c>
    </row>
    <row r="38" customFormat="false" ht="15.75" hidden="false" customHeight="true" outlineLevel="0" collapsed="false">
      <c r="B38" s="534"/>
      <c r="C38" s="534"/>
      <c r="D38" s="524"/>
      <c r="E38" s="521"/>
      <c r="G38" s="528"/>
      <c r="H38" s="521"/>
      <c r="I38" s="521" t="n">
        <v>0</v>
      </c>
    </row>
    <row r="39" customFormat="false" ht="15.75" hidden="false" customHeight="true" outlineLevel="0" collapsed="false">
      <c r="B39" s="534"/>
      <c r="C39" s="534"/>
      <c r="D39" s="524" t="n">
        <f aca="false">HLOOKUP($C$1,$E$1:$V$4910,ROW(D39))</f>
        <v>0</v>
      </c>
      <c r="E39" s="521"/>
      <c r="G39" s="528"/>
      <c r="H39" s="521"/>
      <c r="I39" s="521" t="n">
        <v>0</v>
      </c>
    </row>
    <row r="40" customFormat="false" ht="15.75" hidden="false" customHeight="true" outlineLevel="0" collapsed="false">
      <c r="B40" s="534"/>
      <c r="C40" s="534"/>
      <c r="D40" s="524" t="str">
        <f aca="false">HLOOKUP($C$1,$E$1:$V$4910,ROW(D40))</f>
        <v>KEY</v>
      </c>
      <c r="E40" s="521" t="s">
        <v>892</v>
      </c>
      <c r="F40" s="521" t="s">
        <v>893</v>
      </c>
      <c r="G40" s="528" t="s">
        <v>894</v>
      </c>
      <c r="H40" s="521" t="s">
        <v>895</v>
      </c>
      <c r="I40" s="521" t="s">
        <v>892</v>
      </c>
    </row>
    <row r="41" customFormat="false" ht="28.5" hidden="false" customHeight="true" outlineLevel="0" collapsed="false">
      <c r="B41" s="534"/>
      <c r="C41" s="534"/>
      <c r="D41" s="524" t="str">
        <f aca="false">HLOOKUP($C$1,$E$1:$V$4910,ROW(D41))</f>
        <v>Field is editable (green frame, dark green text)</v>
      </c>
      <c r="E41" s="521" t="s">
        <v>896</v>
      </c>
      <c r="F41" s="521" t="s">
        <v>897</v>
      </c>
      <c r="G41" s="528" t="s">
        <v>898</v>
      </c>
      <c r="H41" s="521" t="s">
        <v>899</v>
      </c>
      <c r="I41" s="521" t="s">
        <v>900</v>
      </c>
    </row>
    <row r="42" customFormat="false" ht="28.5" hidden="false" customHeight="true" outlineLevel="0" collapsed="false">
      <c r="B42" s="534"/>
      <c r="C42" s="534"/>
      <c r="D42" s="524" t="str">
        <f aca="false">HLOOKUP($C$1,$E$1:$V$4910,ROW(D42))</f>
        <v>Feld is read-only (grey frame, dark grey text)</v>
      </c>
      <c r="E42" s="521" t="s">
        <v>901</v>
      </c>
      <c r="F42" s="521" t="s">
        <v>902</v>
      </c>
      <c r="G42" s="528" t="s">
        <v>903</v>
      </c>
      <c r="H42" s="521" t="s">
        <v>904</v>
      </c>
      <c r="I42" s="521" t="s">
        <v>905</v>
      </c>
    </row>
    <row r="43" customFormat="false" ht="26.25" hidden="false" customHeight="true" outlineLevel="0" collapsed="false">
      <c r="B43" s="534"/>
      <c r="C43" s="534"/>
      <c r="D43" s="524" t="str">
        <f aca="false">HLOOKUP($C$1,$E$1:$V$4910,ROW(D43))</f>
        <v>non valid value entry (for correct calculation change value)</v>
      </c>
      <c r="E43" s="521" t="s">
        <v>906</v>
      </c>
      <c r="F43" s="521" t="s">
        <v>907</v>
      </c>
      <c r="G43" s="528" t="s">
        <v>908</v>
      </c>
      <c r="H43" s="521" t="s">
        <v>909</v>
      </c>
      <c r="I43" s="521" t="s">
        <v>910</v>
      </c>
    </row>
    <row r="44" customFormat="false" ht="26.25" hidden="false" customHeight="true" outlineLevel="0" collapsed="false">
      <c r="B44" s="534"/>
      <c r="C44" s="534"/>
      <c r="D44" s="524" t="str">
        <f aca="false">HLOOKUP($C$1,$E$1:$V$4910,ROW(D44))</f>
        <v>Values are not consistent</v>
      </c>
      <c r="E44" s="521" t="s">
        <v>911</v>
      </c>
      <c r="F44" s="521" t="s">
        <v>911</v>
      </c>
      <c r="G44" s="528" t="s">
        <v>912</v>
      </c>
      <c r="H44" s="521" t="s">
        <v>913</v>
      </c>
      <c r="I44" s="521" t="s">
        <v>914</v>
      </c>
    </row>
    <row r="45" customFormat="false" ht="43.5" hidden="false" customHeight="true" outlineLevel="0" collapsed="false">
      <c r="B45" s="534"/>
      <c r="C45" s="534"/>
      <c r="D45" s="524" t="str">
        <f aca="false">HLOOKUP($C$1,$E$1:$V$4910,ROW(D45))</f>
        <v>The format of the numbers is usually rounded to facilitate the visualization but the numbers are not actually rounded. You may see for example that an aspect is 1 (real value 1,3) and other 1 (real value 1,4) but the sum of the two aspects is 3 (real value 2,7)</v>
      </c>
      <c r="E45" s="521" t="s">
        <v>915</v>
      </c>
      <c r="F45" s="521" t="s">
        <v>916</v>
      </c>
      <c r="G45" s="528" t="s">
        <v>917</v>
      </c>
      <c r="H45" s="521" t="s">
        <v>918</v>
      </c>
      <c r="I45" s="521" t="n">
        <v>0</v>
      </c>
    </row>
    <row r="46" customFormat="false" ht="26.25" hidden="false" customHeight="true" outlineLevel="0" collapsed="false">
      <c r="B46" s="534"/>
      <c r="C46" s="534"/>
      <c r="D46" s="524" t="str">
        <f aca="false">HLOOKUP($C$1,$E$1:$V$4910,ROW(D46))</f>
        <v>Please note that the format of the numbers in the matrix is rounded</v>
      </c>
      <c r="E46" s="521" t="s">
        <v>919</v>
      </c>
      <c r="F46" s="521" t="s">
        <v>920</v>
      </c>
      <c r="G46" s="528" t="s">
        <v>921</v>
      </c>
      <c r="H46" s="521" t="s">
        <v>922</v>
      </c>
      <c r="I46" s="521" t="n">
        <v>0</v>
      </c>
    </row>
    <row r="47" customFormat="false" ht="38.25" hidden="false" customHeight="true" outlineLevel="0" collapsed="false">
      <c r="B47" s="534"/>
      <c r="C47" s="534"/>
      <c r="D47" s="524" t="n">
        <f aca="false">HLOOKUP($C$1,$E$1:$V$4910,ROW(D47))</f>
        <v>0</v>
      </c>
      <c r="E47" s="521"/>
      <c r="G47" s="528"/>
      <c r="H47" s="521"/>
      <c r="I47" s="521" t="n">
        <v>0</v>
      </c>
    </row>
    <row r="48" customFormat="false" ht="26.25" hidden="false" customHeight="true" outlineLevel="0" collapsed="false">
      <c r="B48" s="534"/>
      <c r="C48" s="534"/>
      <c r="D48" s="524" t="n">
        <f aca="false">HLOOKUP($C$1,$E$1:$V$4910,ROW(D48))</f>
        <v>0</v>
      </c>
      <c r="E48" s="521"/>
      <c r="G48" s="528"/>
      <c r="H48" s="521"/>
      <c r="I48" s="521" t="n">
        <v>0</v>
      </c>
    </row>
    <row r="49" customFormat="false" ht="26.25" hidden="false" customHeight="true" outlineLevel="0" collapsed="false">
      <c r="B49" s="534"/>
      <c r="C49" s="534"/>
      <c r="D49" s="524" t="n">
        <f aca="false">HLOOKUP($C$1,$E$1:$V$4910,ROW(D49))</f>
        <v>0</v>
      </c>
      <c r="E49" s="521"/>
      <c r="G49" s="528"/>
      <c r="H49" s="521"/>
      <c r="I49" s="521" t="n">
        <v>0</v>
      </c>
    </row>
    <row r="50" customFormat="false" ht="26.25" hidden="false" customHeight="true" outlineLevel="0" collapsed="false">
      <c r="B50" s="534"/>
      <c r="C50" s="534"/>
      <c r="D50" s="524" t="n">
        <f aca="false">HLOOKUP($C$1,$E$1:$V$4910,ROW(D50))</f>
        <v>0</v>
      </c>
      <c r="E50" s="521"/>
      <c r="G50" s="528"/>
      <c r="H50" s="521"/>
      <c r="I50" s="521" t="n">
        <v>0</v>
      </c>
    </row>
    <row r="51" customFormat="false" ht="26.25" hidden="false" customHeight="true" outlineLevel="0" collapsed="false">
      <c r="B51" s="534"/>
      <c r="C51" s="534"/>
      <c r="D51" s="524" t="n">
        <f aca="false">HLOOKUP($C$1,$E$1:$V$4910,ROW(D51))</f>
        <v>0</v>
      </c>
      <c r="E51" s="521"/>
      <c r="G51" s="528"/>
      <c r="H51" s="521"/>
      <c r="I51" s="521" t="n">
        <v>0</v>
      </c>
    </row>
    <row r="52" customFormat="false" ht="26.25" hidden="false" customHeight="true" outlineLevel="0" collapsed="false">
      <c r="B52" s="534"/>
      <c r="C52" s="534"/>
      <c r="D52" s="524" t="str">
        <f aca="false">HLOOKUP($C$1,$E$1:$V$4910,ROW(D52))</f>
        <v>yes</v>
      </c>
      <c r="E52" s="521" t="s">
        <v>30</v>
      </c>
      <c r="F52" s="521" t="s">
        <v>923</v>
      </c>
      <c r="G52" s="528" t="s">
        <v>924</v>
      </c>
      <c r="H52" s="521" t="s">
        <v>925</v>
      </c>
      <c r="I52" s="521" t="s">
        <v>926</v>
      </c>
    </row>
    <row r="53" customFormat="false" ht="26.25" hidden="false" customHeight="true" outlineLevel="0" collapsed="false">
      <c r="B53" s="534"/>
      <c r="C53" s="534"/>
      <c r="D53" s="524" t="str">
        <f aca="false">HLOOKUP($C$1,$E$1:$V$4910,ROW(D53))</f>
        <v>no</v>
      </c>
      <c r="E53" s="521" t="s">
        <v>927</v>
      </c>
      <c r="F53" s="521" t="s">
        <v>27</v>
      </c>
      <c r="G53" s="528" t="s">
        <v>27</v>
      </c>
      <c r="H53" s="521" t="s">
        <v>928</v>
      </c>
      <c r="I53" s="521" t="s">
        <v>929</v>
      </c>
    </row>
    <row r="54" customFormat="false" ht="15.75" hidden="false" customHeight="true" outlineLevel="0" collapsed="false">
      <c r="D54" s="524" t="str">
        <f aca="false">HLOOKUP($C$1,$E$1:$V$4910,ROW(D54))</f>
        <v>CONTACT</v>
      </c>
      <c r="E54" s="521" t="s">
        <v>930</v>
      </c>
      <c r="F54" s="521" t="s">
        <v>931</v>
      </c>
      <c r="G54" s="528" t="s">
        <v>932</v>
      </c>
      <c r="H54" s="521" t="s">
        <v>933</v>
      </c>
      <c r="I54" s="521" t="s">
        <v>932</v>
      </c>
    </row>
    <row r="55" customFormat="false" ht="41.25" hidden="false" customHeight="true" outlineLevel="0" collapsed="false">
      <c r="D55" s="524" t="str">
        <f aca="false">HLOOKUP($C$1,$E$1:$V$4910,ROW(D55))</f>
        <v>Questions regarding preparation of balance sheet:
beratung@gemeinwohl-oekonomie.org (GWÖ-BeraterInnen);</v>
      </c>
      <c r="E55" s="521" t="s">
        <v>934</v>
      </c>
      <c r="F55" s="521" t="s">
        <v>935</v>
      </c>
      <c r="G55" s="528" t="s">
        <v>936</v>
      </c>
      <c r="H55" s="521" t="s">
        <v>937</v>
      </c>
      <c r="I55" s="521" t="s">
        <v>938</v>
      </c>
    </row>
    <row r="56" customFormat="false" ht="28.5" hidden="false" customHeight="true" outlineLevel="0" collapsed="false">
      <c r="D56" s="524" t="str">
        <f aca="false">HLOOKUP($C$1,$E$1:$V$4910,ROW(D56))</f>
        <v>Questions regarding audit: audit@gemeinwohl-oekonomie.org (GWÖ-AuditorInnen);</v>
      </c>
      <c r="E56" s="521" t="s">
        <v>939</v>
      </c>
      <c r="F56" s="538" t="s">
        <v>940</v>
      </c>
      <c r="G56" s="528" t="s">
        <v>941</v>
      </c>
      <c r="H56" s="521" t="s">
        <v>942</v>
      </c>
      <c r="I56" s="521" t="s">
        <v>943</v>
      </c>
    </row>
    <row r="57" customFormat="false" ht="41.25" hidden="false" customHeight="true" outlineLevel="0" collapsed="false">
      <c r="D57" s="524" t="str">
        <f aca="false">HLOOKUP($C$1,$E$1:$V$4910,ROW(D57))</f>
        <v>Feedback on the development of the Matrix: bilanz@ecogood.org (Matrix Development Team)</v>
      </c>
      <c r="E57" s="521" t="s">
        <v>944</v>
      </c>
      <c r="F57" s="521" t="str">
        <f aca="false">"[it]"&amp;E57</f>
        <v>[it]Weiterentwicklung der Matrix: bilanz@ecogood.org (GWÖ-Matrix Entwicklungsteam);</v>
      </c>
      <c r="G57" s="528" t="s">
        <v>945</v>
      </c>
      <c r="H57" s="521" t="s">
        <v>946</v>
      </c>
      <c r="I57" s="521" t="s">
        <v>947</v>
      </c>
    </row>
    <row r="58" customFormat="false" ht="78.75" hidden="false" customHeight="true" outlineLevel="0" collapsed="false">
      <c r="D58" s="524" t="str">
        <f aca="false">HLOOKUP($C$1,$E$1:$V$4910,ROW(D58))</f>
        <v>Excel programming: Christian Loy (christian.loy@gmx.at); Christian Kozina; Multilanguage tool: Bernhard Oberrauch</v>
      </c>
      <c r="E58" s="539" t="s">
        <v>948</v>
      </c>
      <c r="F58" s="521" t="s">
        <v>949</v>
      </c>
      <c r="G58" s="528" t="s">
        <v>950</v>
      </c>
      <c r="H58" s="521" t="s">
        <v>951</v>
      </c>
      <c r="I58" s="521" t="s">
        <v>952</v>
      </c>
    </row>
    <row r="59" customFormat="false" ht="15.75" hidden="false" customHeight="true" outlineLevel="0" collapsed="false">
      <c r="D59" s="524" t="str">
        <f aca="false">HLOOKUP($C$1,$E$1:$V$4910,ROW(D59))</f>
        <v>Contents: ECG-Matrix Development Team</v>
      </c>
      <c r="E59" s="521" t="s">
        <v>953</v>
      </c>
      <c r="F59" s="521" t="str">
        <f aca="false">"[it]"&amp;E59</f>
        <v>[it]Inhalte: GWÖ-Matrix Entwicklungsteam</v>
      </c>
      <c r="G59" s="528" t="s">
        <v>954</v>
      </c>
      <c r="H59" s="521" t="s">
        <v>955</v>
      </c>
      <c r="I59" s="521" t="s">
        <v>956</v>
      </c>
    </row>
    <row r="60" customFormat="false" ht="15.75" hidden="false" customHeight="true" outlineLevel="0" collapsed="false">
      <c r="D60" s="524" t="str">
        <f aca="false">HLOOKUP($C$1,$E$1:$V$4910,ROW(D60))</f>
        <v>NOTES</v>
      </c>
      <c r="E60" s="521" t="s">
        <v>957</v>
      </c>
      <c r="F60" s="521" t="s">
        <v>958</v>
      </c>
      <c r="G60" s="528" t="s">
        <v>959</v>
      </c>
      <c r="H60" s="521" t="s">
        <v>960</v>
      </c>
      <c r="I60" s="521" t="s">
        <v>959</v>
      </c>
    </row>
    <row r="61" customFormat="false" ht="68.25" hidden="false" customHeight="true" outlineLevel="0" collapsed="false">
      <c r="D61" s="524" t="str">
        <f aca="false">HLOOKUP($C$1,$E$1:$V$4910,ROW(D61))</f>
        <v>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v>
      </c>
      <c r="E61" s="521" t="s">
        <v>961</v>
      </c>
      <c r="F61" s="521" t="s">
        <v>962</v>
      </c>
      <c r="G61" s="528" t="s">
        <v>963</v>
      </c>
      <c r="H61" s="521" t="s">
        <v>964</v>
      </c>
      <c r="I61" s="521" t="s">
        <v>965</v>
      </c>
    </row>
    <row r="62" customFormat="false" ht="15.75" hidden="false" customHeight="true" outlineLevel="0" collapsed="false">
      <c r="D62" s="524" t="str">
        <f aca="false">HLOOKUP($C$1,$E$1:$V$4910,ROW(D62))</f>
        <v>GENERAL INFORMATION ABOUT THE COMPANY</v>
      </c>
      <c r="E62" s="521" t="s">
        <v>966</v>
      </c>
      <c r="F62" s="521" t="s">
        <v>967</v>
      </c>
      <c r="G62" s="528" t="s">
        <v>968</v>
      </c>
      <c r="H62" s="521" t="s">
        <v>969</v>
      </c>
      <c r="I62" s="521" t="s">
        <v>970</v>
      </c>
    </row>
    <row r="63" customFormat="false" ht="15.75" hidden="false" customHeight="true" outlineLevel="0" collapsed="false">
      <c r="D63" s="524" t="str">
        <f aca="false">HLOOKUP($C$1,$E$1:$V$4910,ROW(D63))</f>
        <v>Please complete all fields.</v>
      </c>
      <c r="E63" s="521" t="s">
        <v>971</v>
      </c>
      <c r="F63" s="521" t="s">
        <v>972</v>
      </c>
      <c r="G63" s="528" t="s">
        <v>973</v>
      </c>
      <c r="H63" s="521" t="s">
        <v>974</v>
      </c>
      <c r="I63" s="521" t="s">
        <v>975</v>
      </c>
    </row>
    <row r="64" customFormat="false" ht="15.75" hidden="false" customHeight="true" outlineLevel="0" collapsed="false">
      <c r="D64" s="524" t="str">
        <f aca="false">HLOOKUP($C$1,$E$1:$V$4910,ROW(D64))</f>
        <v>Name of Company / Organisation:</v>
      </c>
      <c r="E64" s="521" t="s">
        <v>976</v>
      </c>
      <c r="F64" s="521" t="s">
        <v>977</v>
      </c>
      <c r="G64" s="528" t="s">
        <v>978</v>
      </c>
      <c r="H64" s="521" t="s">
        <v>979</v>
      </c>
      <c r="I64" s="521" t="s">
        <v>980</v>
      </c>
    </row>
    <row r="65" customFormat="false" ht="15.75" hidden="false" customHeight="true" outlineLevel="0" collapsed="false">
      <c r="D65" s="524" t="str">
        <f aca="false">HLOOKUP($C$1,$E$1:$V$4910,ROW(D65))</f>
        <v>Address:</v>
      </c>
      <c r="E65" s="521" t="s">
        <v>981</v>
      </c>
      <c r="F65" s="521" t="s">
        <v>982</v>
      </c>
      <c r="G65" s="528" t="s">
        <v>983</v>
      </c>
      <c r="H65" s="521" t="s">
        <v>984</v>
      </c>
      <c r="I65" s="521" t="s">
        <v>985</v>
      </c>
    </row>
    <row r="66" customFormat="false" ht="15.75" hidden="false" customHeight="true" outlineLevel="0" collapsed="false">
      <c r="D66" s="524" t="str">
        <f aca="false">HLOOKUP($C$1,$E$1:$V$4910,ROW(D66))</f>
        <v>Country:</v>
      </c>
      <c r="E66" s="521" t="s">
        <v>986</v>
      </c>
      <c r="F66" s="521" t="s">
        <v>987</v>
      </c>
      <c r="G66" s="528" t="s">
        <v>988</v>
      </c>
      <c r="H66" s="521" t="s">
        <v>989</v>
      </c>
      <c r="I66" s="521" t="s">
        <v>990</v>
      </c>
    </row>
    <row r="67" customFormat="false" ht="15.75" hidden="false" customHeight="true" outlineLevel="0" collapsed="false">
      <c r="D67" s="524" t="str">
        <f aca="false">HLOOKUP($C$1,$E$1:$V$4910,ROW(D67))</f>
        <v>Industry sector:</v>
      </c>
      <c r="E67" s="521" t="s">
        <v>991</v>
      </c>
      <c r="F67" s="521" t="s">
        <v>992</v>
      </c>
      <c r="G67" s="528" t="s">
        <v>993</v>
      </c>
      <c r="H67" s="521" t="s">
        <v>994</v>
      </c>
      <c r="I67" s="521" t="s">
        <v>995</v>
      </c>
    </row>
    <row r="68" customFormat="false" ht="15.75" hidden="false" customHeight="true" outlineLevel="0" collapsed="false">
      <c r="D68" s="524" t="str">
        <f aca="false">HLOOKUP($C$1,$E$1:$V$4910,ROW(D68))</f>
        <v>Website:</v>
      </c>
      <c r="E68" s="521" t="s">
        <v>996</v>
      </c>
      <c r="F68" s="521" t="s">
        <v>997</v>
      </c>
      <c r="G68" s="528" t="s">
        <v>996</v>
      </c>
      <c r="H68" s="521" t="s">
        <v>998</v>
      </c>
      <c r="I68" s="521" t="s">
        <v>999</v>
      </c>
    </row>
    <row r="69" customFormat="false" ht="15.75" hidden="false" customHeight="true" outlineLevel="0" collapsed="false">
      <c r="D69" s="524" t="str">
        <f aca="false">HLOOKUP($C$1,$E$1:$V$4910,ROW(D69))</f>
        <v>Number of employees</v>
      </c>
      <c r="E69" s="521" t="s">
        <v>1000</v>
      </c>
      <c r="F69" s="521" t="s">
        <v>1001</v>
      </c>
      <c r="G69" s="528" t="s">
        <v>1002</v>
      </c>
      <c r="H69" s="521" t="s">
        <v>1003</v>
      </c>
      <c r="I69" s="521" t="s">
        <v>1004</v>
      </c>
    </row>
    <row r="70" customFormat="false" ht="15.75" hidden="false" customHeight="true" outlineLevel="0" collapsed="false">
      <c r="D70" s="524" t="str">
        <f aca="false">HLOOKUP($C$1,$E$1:$V$4910,ROW(D70))</f>
        <v>Sole trader (ST) (or single-person)</v>
      </c>
      <c r="E70" s="521" t="s">
        <v>1005</v>
      </c>
      <c r="F70" s="521" t="s">
        <v>1006</v>
      </c>
      <c r="G70" s="528" t="s">
        <v>1007</v>
      </c>
      <c r="H70" s="521" t="s">
        <v>1008</v>
      </c>
      <c r="I70" s="521" t="s">
        <v>1009</v>
      </c>
    </row>
    <row r="71" customFormat="false" ht="41.25" hidden="false" customHeight="true" outlineLevel="0" collapsed="false">
      <c r="D71" s="524" t="str">
        <f aca="false">HLOOKUP($C$1,$E$1:$V$4910,ROW(D71))</f>
        <v>(Note: If yes, the values for STs will be filled in automatically for the calculation)</v>
      </c>
      <c r="E71" s="521" t="s">
        <v>1010</v>
      </c>
      <c r="F71" s="521" t="s">
        <v>1011</v>
      </c>
      <c r="G71" s="528" t="s">
        <v>1012</v>
      </c>
      <c r="H71" s="521" t="s">
        <v>1013</v>
      </c>
      <c r="I71" s="521" t="s">
        <v>1014</v>
      </c>
    </row>
    <row r="72" customFormat="false" ht="15.75" hidden="false" customHeight="true" outlineLevel="0" collapsed="false">
      <c r="D72" s="524" t="str">
        <f aca="false">HLOOKUP($C$1,$E$1:$V$4910,ROW(D72))</f>
        <v>Balance year:</v>
      </c>
      <c r="E72" s="521" t="s">
        <v>1015</v>
      </c>
      <c r="F72" s="521" t="s">
        <v>1016</v>
      </c>
      <c r="G72" s="528" t="s">
        <v>1017</v>
      </c>
      <c r="H72" s="521" t="s">
        <v>1018</v>
      </c>
      <c r="I72" s="521" t="s">
        <v>1019</v>
      </c>
    </row>
    <row r="73" customFormat="false" ht="15.75" hidden="false" customHeight="true" outlineLevel="0" collapsed="false">
      <c r="D73" s="524" t="str">
        <f aca="false">HLOOKUP($C$1,$E$1:$V$4910,ROW(D73))</f>
        <v>Document created by:</v>
      </c>
      <c r="E73" s="521" t="s">
        <v>1020</v>
      </c>
      <c r="F73" s="521" t="s">
        <v>1021</v>
      </c>
      <c r="G73" s="528" t="s">
        <v>1022</v>
      </c>
      <c r="H73" s="521" t="s">
        <v>1023</v>
      </c>
      <c r="I73" s="521" t="s">
        <v>1024</v>
      </c>
    </row>
    <row r="74" customFormat="false" ht="15.75" hidden="false" customHeight="true" outlineLevel="0" collapsed="false">
      <c r="D74" s="524" t="str">
        <f aca="false">HLOOKUP($C$1,$E$1:$V$4910,ROW(D74))</f>
        <v>Email address:</v>
      </c>
      <c r="E74" s="521" t="s">
        <v>1025</v>
      </c>
      <c r="F74" s="521" t="s">
        <v>1026</v>
      </c>
      <c r="G74" s="528" t="s">
        <v>1027</v>
      </c>
      <c r="H74" s="521" t="s">
        <v>1028</v>
      </c>
      <c r="I74" s="521" t="s">
        <v>1029</v>
      </c>
    </row>
    <row r="75" customFormat="false" ht="15.75" hidden="false" customHeight="true" outlineLevel="0" collapsed="false">
      <c r="D75" s="524" t="str">
        <f aca="false">HLOOKUP($C$1,$E$1:$V$4910,ROW(D75))</f>
        <v>Phone number:</v>
      </c>
      <c r="E75" s="521" t="s">
        <v>1030</v>
      </c>
      <c r="F75" s="521" t="s">
        <v>1031</v>
      </c>
      <c r="G75" s="528" t="s">
        <v>1032</v>
      </c>
      <c r="H75" s="521" t="s">
        <v>1033</v>
      </c>
      <c r="I75" s="521" t="s">
        <v>1034</v>
      </c>
    </row>
    <row r="76" customFormat="false" ht="15.75" hidden="false" customHeight="true" outlineLevel="0" collapsed="false">
      <c r="D76" s="524" t="str">
        <f aca="false">HLOOKUP($C$1,$E$1:$V$4910,ROW(D76))</f>
        <v>Consultant:</v>
      </c>
      <c r="E76" s="521" t="s">
        <v>1035</v>
      </c>
      <c r="F76" s="521" t="s">
        <v>1036</v>
      </c>
      <c r="G76" s="528" t="s">
        <v>1037</v>
      </c>
      <c r="H76" s="521" t="s">
        <v>1038</v>
      </c>
      <c r="I76" s="521" t="s">
        <v>1039</v>
      </c>
    </row>
    <row r="77" customFormat="false" ht="15.75" hidden="false" customHeight="true" outlineLevel="0" collapsed="false">
      <c r="D77" s="524" t="str">
        <f aca="false">HLOOKUP($C$1,$E$1:$V$4910,ROW(D77))</f>
        <v>E-mail address:</v>
      </c>
      <c r="E77" s="521" t="s">
        <v>1025</v>
      </c>
      <c r="F77" s="521" t="s">
        <v>1026</v>
      </c>
      <c r="G77" s="528" t="s">
        <v>1040</v>
      </c>
      <c r="H77" s="521" t="s">
        <v>1028</v>
      </c>
      <c r="I77" s="521" t="s">
        <v>1029</v>
      </c>
    </row>
    <row r="78" customFormat="false" ht="15.75" hidden="false" customHeight="true" outlineLevel="0" collapsed="false">
      <c r="D78" s="524" t="str">
        <f aca="false">HLOOKUP($C$1,$E$1:$V$4910,ROW(D78))</f>
        <v>Phone Number</v>
      </c>
      <c r="E78" s="521" t="s">
        <v>1030</v>
      </c>
      <c r="F78" s="521" t="s">
        <v>1031</v>
      </c>
      <c r="G78" s="528" t="s">
        <v>1041</v>
      </c>
      <c r="H78" s="521" t="s">
        <v>1033</v>
      </c>
      <c r="I78" s="521" t="s">
        <v>1034</v>
      </c>
    </row>
    <row r="79" customFormat="false" ht="28.5" hidden="false" customHeight="true" outlineLevel="0" collapsed="false">
      <c r="D79" s="524" t="str">
        <f aca="false">HLOOKUP($C$1,$E$1:$V$4910,ROW(D79))</f>
        <v>Short description of Company / Organisation</v>
      </c>
      <c r="E79" s="521" t="s">
        <v>1042</v>
      </c>
      <c r="F79" s="521" t="s">
        <v>1043</v>
      </c>
      <c r="G79" s="528" t="s">
        <v>1044</v>
      </c>
      <c r="H79" s="521" t="s">
        <v>1045</v>
      </c>
      <c r="I79" s="521" t="s">
        <v>1046</v>
      </c>
    </row>
    <row r="80" customFormat="false" ht="15.75" hidden="false" customHeight="true" outlineLevel="0" collapsed="false">
      <c r="D80" s="524" t="str">
        <f aca="false">HLOOKUP($C$1,$E$1:$V$4910,ROW(D80))</f>
        <v>Additional comments:</v>
      </c>
      <c r="E80" s="521" t="s">
        <v>1047</v>
      </c>
      <c r="F80" s="521" t="s">
        <v>1048</v>
      </c>
      <c r="G80" s="528" t="s">
        <v>1049</v>
      </c>
      <c r="H80" s="521" t="s">
        <v>1050</v>
      </c>
      <c r="I80" s="521" t="s">
        <v>1051</v>
      </c>
    </row>
    <row r="81" customFormat="false" ht="15.75" hidden="false" customHeight="true" outlineLevel="0" collapsed="false">
      <c r="D81" s="524" t="str">
        <f aca="false">HLOOKUP($C$1,$E$1:$V$4910,ROW(D81))</f>
        <v>CALCULATION OF INDIVIDUAL INDICATORS</v>
      </c>
      <c r="E81" s="527" t="s">
        <v>1052</v>
      </c>
      <c r="F81" s="521" t="s">
        <v>1053</v>
      </c>
      <c r="G81" s="528" t="s">
        <v>1054</v>
      </c>
      <c r="H81" s="521" t="s">
        <v>1055</v>
      </c>
      <c r="I81" s="521" t="s">
        <v>1056</v>
      </c>
    </row>
    <row r="82" customFormat="false" ht="15.75" hidden="false" customHeight="true" outlineLevel="0" collapsed="false">
      <c r="D82" s="524" t="str">
        <f aca="false">HLOOKUP($C$1,$E$1:$V$4910,ROW(D82))</f>
        <v>Company / Organisation</v>
      </c>
      <c r="E82" s="521" t="s">
        <v>1057</v>
      </c>
      <c r="F82" s="521" t="s">
        <v>1058</v>
      </c>
      <c r="G82" s="528" t="s">
        <v>1059</v>
      </c>
      <c r="H82" s="521" t="s">
        <v>1060</v>
      </c>
      <c r="I82" s="521" t="s">
        <v>1061</v>
      </c>
    </row>
    <row r="83" customFormat="false" ht="15.75" hidden="false" customHeight="true" outlineLevel="0" collapsed="false">
      <c r="D83" s="524" t="str">
        <f aca="false">HLOOKUP($C$1,$E$1:$V$4910,ROW(D83))</f>
        <v>Period under review</v>
      </c>
      <c r="E83" s="521" t="s">
        <v>1062</v>
      </c>
      <c r="F83" s="521" t="s">
        <v>1063</v>
      </c>
      <c r="G83" s="528" t="s">
        <v>1064</v>
      </c>
      <c r="H83" s="521" t="s">
        <v>1018</v>
      </c>
      <c r="I83" s="521" t="s">
        <v>1065</v>
      </c>
    </row>
    <row r="84" customFormat="false" ht="15.75" hidden="false" customHeight="true" outlineLevel="0" collapsed="false">
      <c r="D84" s="524" t="n">
        <f aca="false">HLOOKUP($C$1,$E$1:$V$4910,ROW(D84))</f>
        <v>0</v>
      </c>
      <c r="E84" s="521"/>
      <c r="G84" s="528"/>
      <c r="H84" s="521"/>
      <c r="I84" s="521" t="n">
        <v>0</v>
      </c>
    </row>
    <row r="85" customFormat="false" ht="15.75" hidden="false" customHeight="true" outlineLevel="0" collapsed="false">
      <c r="D85" s="524" t="n">
        <f aca="false">HLOOKUP($C$1,$E$1:$V$4910,ROW(D85))</f>
        <v>0</v>
      </c>
      <c r="E85" s="521"/>
      <c r="G85" s="528"/>
      <c r="H85" s="521"/>
      <c r="I85" s="521" t="n">
        <v>0</v>
      </c>
    </row>
    <row r="86" customFormat="false" ht="15.75" hidden="false" customHeight="true" outlineLevel="0" collapsed="false">
      <c r="D86" s="524" t="n">
        <f aca="false">HLOOKUP($C$1,$E$1:$V$4910,ROW(D86))</f>
        <v>0</v>
      </c>
      <c r="E86" s="521"/>
      <c r="G86" s="528"/>
      <c r="H86" s="521"/>
      <c r="I86" s="521" t="n">
        <v>0</v>
      </c>
    </row>
    <row r="87" customFormat="false" ht="15.75" hidden="false" customHeight="true" outlineLevel="0" collapsed="false">
      <c r="D87" s="524" t="n">
        <f aca="false">HLOOKUP($C$1,$E$1:$V$4910,ROW(D87))</f>
        <v>0</v>
      </c>
      <c r="E87" s="521"/>
      <c r="G87" s="528"/>
      <c r="H87" s="521"/>
      <c r="I87" s="521" t="n">
        <v>0</v>
      </c>
    </row>
    <row r="88" customFormat="false" ht="15.75" hidden="false" customHeight="true" outlineLevel="0" collapsed="false">
      <c r="D88" s="524" t="n">
        <f aca="false">HLOOKUP($C$1,$E$1:$V$4910,ROW(D88))</f>
        <v>0</v>
      </c>
      <c r="E88" s="521"/>
      <c r="G88" s="528"/>
      <c r="H88" s="521"/>
      <c r="I88" s="521" t="n">
        <v>0</v>
      </c>
    </row>
    <row r="89" customFormat="false" ht="15.75" hidden="false" customHeight="true" outlineLevel="0" collapsed="false">
      <c r="D89" s="524" t="n">
        <f aca="false">HLOOKUP($C$1,$E$1:$V$4910,ROW(D89))</f>
        <v>0</v>
      </c>
      <c r="E89" s="521"/>
      <c r="G89" s="528"/>
      <c r="H89" s="521"/>
      <c r="I89" s="521" t="n">
        <v>0</v>
      </c>
    </row>
    <row r="90" customFormat="false" ht="15.75" hidden="false" customHeight="true" outlineLevel="0" collapsed="false">
      <c r="D90" s="524" t="str">
        <f aca="false">HLOOKUP($C$1,$E$1:$V$4910,ROW(D90))</f>
        <v>CALCULATION OF INDIVIDUAL ASPECTS</v>
      </c>
      <c r="E90" s="521" t="s">
        <v>1066</v>
      </c>
      <c r="F90" s="521" t="s">
        <v>1067</v>
      </c>
      <c r="G90" s="528" t="s">
        <v>1068</v>
      </c>
      <c r="H90" s="521" t="s">
        <v>1069</v>
      </c>
      <c r="I90" s="521" t="s">
        <v>1070</v>
      </c>
    </row>
    <row r="91" customFormat="false" ht="15.75" hidden="false" customHeight="true" outlineLevel="0" collapsed="false">
      <c r="D91" s="524" t="str">
        <f aca="false">HLOOKUP($C$1,$E$1:$V$4910,ROW(D91))</f>
        <v>Common Good Balance Calculator</v>
      </c>
      <c r="E91" s="521" t="s">
        <v>1071</v>
      </c>
      <c r="F91" s="529" t="s">
        <v>1072</v>
      </c>
      <c r="G91" s="528" t="s">
        <v>1073</v>
      </c>
      <c r="H91" s="521" t="s">
        <v>1074</v>
      </c>
      <c r="I91" s="521" t="s">
        <v>1075</v>
      </c>
    </row>
    <row r="92" customFormat="false" ht="15.75" hidden="false" customHeight="true" outlineLevel="0" collapsed="false">
      <c r="D92" s="524" t="str">
        <f aca="false">HLOOKUP($C$1,$E$1:$V$4910,ROW(D92))</f>
        <v>Total Balance Score:</v>
      </c>
      <c r="E92" s="521" t="s">
        <v>1076</v>
      </c>
      <c r="F92" s="521" t="s">
        <v>1077</v>
      </c>
      <c r="G92" s="528" t="s">
        <v>1078</v>
      </c>
      <c r="H92" s="521" t="s">
        <v>1079</v>
      </c>
      <c r="I92" s="521" t="s">
        <v>1080</v>
      </c>
    </row>
    <row r="93" customFormat="false" ht="15.75" hidden="false" customHeight="true" outlineLevel="0" collapsed="false">
      <c r="D93" s="524" t="str">
        <f aca="false">HLOOKUP($C$1,$E$1:$V$4910,ROW(D93))</f>
        <v>No.</v>
      </c>
      <c r="E93" s="521" t="s">
        <v>1081</v>
      </c>
      <c r="F93" s="521" t="s">
        <v>1082</v>
      </c>
      <c r="G93" s="528" t="s">
        <v>1083</v>
      </c>
      <c r="H93" s="521" t="s">
        <v>1084</v>
      </c>
      <c r="I93" s="521" t="s">
        <v>1082</v>
      </c>
    </row>
    <row r="94" customFormat="false" ht="15.75" hidden="false" customHeight="true" outlineLevel="0" collapsed="false">
      <c r="D94" s="524" t="str">
        <f aca="false">HLOOKUP($C$1,$E$1:$V$4910,ROW(D94))</f>
        <v>Stakeholders </v>
      </c>
      <c r="E94" s="521" t="s">
        <v>1085</v>
      </c>
      <c r="F94" s="521" t="s">
        <v>1086</v>
      </c>
      <c r="G94" s="528" t="s">
        <v>1087</v>
      </c>
      <c r="H94" s="521" t="s">
        <v>1088</v>
      </c>
      <c r="I94" s="521" t="s">
        <v>1089</v>
      </c>
    </row>
    <row r="95" customFormat="false" ht="15.75" hidden="false" customHeight="true" outlineLevel="0" collapsed="false">
      <c r="D95" s="524" t="str">
        <f aca="false">HLOOKUP($C$1,$E$1:$V$4910,ROW(D95))</f>
        <v>Stakeholders/Indicators/Criteria</v>
      </c>
      <c r="E95" s="527" t="s">
        <v>1090</v>
      </c>
      <c r="F95" s="521" t="s">
        <v>1091</v>
      </c>
      <c r="G95" s="528" t="s">
        <v>1092</v>
      </c>
      <c r="H95" s="521" t="s">
        <v>1093</v>
      </c>
      <c r="I95" s="521" t="s">
        <v>1094</v>
      </c>
    </row>
    <row r="96" customFormat="false" ht="15.75" hidden="false" customHeight="true" outlineLevel="0" collapsed="false">
      <c r="D96" s="524" t="str">
        <f aca="false">HLOOKUP($C$1,$E$1:$V$4910,ROW(D96))</f>
        <v>Weight</v>
      </c>
      <c r="E96" s="521" t="s">
        <v>1095</v>
      </c>
      <c r="F96" s="521" t="s">
        <v>1096</v>
      </c>
      <c r="G96" s="528" t="s">
        <v>1097</v>
      </c>
      <c r="H96" s="521" t="s">
        <v>1098</v>
      </c>
      <c r="I96" s="521" t="s">
        <v>1099</v>
      </c>
    </row>
    <row r="97" customFormat="false" ht="15.75" hidden="false" customHeight="true" outlineLevel="0" collapsed="false">
      <c r="C97" s="520" t="n">
        <v>4</v>
      </c>
      <c r="D97" s="524" t="str">
        <f aca="false">HLOOKUP($C$1,$E$1:$V$4910,ROW(D97))</f>
        <v>very high</v>
      </c>
      <c r="E97" s="521" t="s">
        <v>174</v>
      </c>
      <c r="F97" s="521" t="s">
        <v>1100</v>
      </c>
      <c r="G97" s="528" t="s">
        <v>1101</v>
      </c>
      <c r="H97" s="521" t="s">
        <v>1102</v>
      </c>
      <c r="I97" s="521" t="s">
        <v>1103</v>
      </c>
    </row>
    <row r="98" customFormat="false" ht="15.75" hidden="false" customHeight="true" outlineLevel="0" collapsed="false">
      <c r="C98" s="520" t="n">
        <v>3</v>
      </c>
      <c r="D98" s="524" t="str">
        <f aca="false">HLOOKUP($C$1,$E$1:$V$4910,ROW(D98))</f>
        <v>high</v>
      </c>
      <c r="E98" s="521" t="s">
        <v>173</v>
      </c>
      <c r="F98" s="521" t="s">
        <v>1104</v>
      </c>
      <c r="G98" s="528" t="s">
        <v>1105</v>
      </c>
      <c r="H98" s="521" t="s">
        <v>1106</v>
      </c>
      <c r="I98" s="521" t="s">
        <v>1107</v>
      </c>
    </row>
    <row r="99" customFormat="false" ht="15.75" hidden="false" customHeight="true" outlineLevel="0" collapsed="false">
      <c r="C99" s="520" t="n">
        <v>2</v>
      </c>
      <c r="D99" s="524" t="str">
        <f aca="false">HLOOKUP($C$1,$E$1:$V$4910,ROW(D99))</f>
        <v>medium</v>
      </c>
      <c r="E99" s="521" t="s">
        <v>172</v>
      </c>
      <c r="F99" s="521" t="s">
        <v>1108</v>
      </c>
      <c r="G99" s="528" t="s">
        <v>1109</v>
      </c>
      <c r="H99" s="521" t="s">
        <v>1110</v>
      </c>
      <c r="I99" s="521" t="s">
        <v>1111</v>
      </c>
    </row>
    <row r="100" customFormat="false" ht="15.75" hidden="false" customHeight="true" outlineLevel="0" collapsed="false">
      <c r="C100" s="520" t="n">
        <v>1</v>
      </c>
      <c r="D100" s="524" t="str">
        <f aca="false">HLOOKUP($C$1,$E$1:$V$4910,ROW(D100))</f>
        <v>low</v>
      </c>
      <c r="E100" s="521" t="s">
        <v>171</v>
      </c>
      <c r="F100" s="521" t="s">
        <v>1112</v>
      </c>
      <c r="G100" s="528" t="s">
        <v>1113</v>
      </c>
      <c r="H100" s="521" t="s">
        <v>1114</v>
      </c>
      <c r="I100" s="521" t="s">
        <v>1115</v>
      </c>
    </row>
    <row r="101" customFormat="false" ht="15.75" hidden="false" customHeight="true" outlineLevel="0" collapsed="false">
      <c r="C101" s="520" t="n">
        <v>0</v>
      </c>
      <c r="D101" s="524" t="str">
        <f aca="false">HLOOKUP($C$1,$E$1:$V$4910,ROW(D101))</f>
        <v>not applicable</v>
      </c>
      <c r="E101" s="521" t="s">
        <v>170</v>
      </c>
      <c r="F101" s="521" t="s">
        <v>1116</v>
      </c>
      <c r="G101" s="528" t="s">
        <v>1117</v>
      </c>
      <c r="H101" s="521" t="s">
        <v>1118</v>
      </c>
      <c r="I101" s="521" t="s">
        <v>1119</v>
      </c>
    </row>
    <row r="102" customFormat="false" ht="15.75" hidden="false" customHeight="true" outlineLevel="0" collapsed="false">
      <c r="D102" s="524" t="str">
        <f aca="false">HLOOKUP($C$1,$E$1:$V$4910,ROW(D102))</f>
        <v>Current status</v>
      </c>
      <c r="E102" s="527" t="s">
        <v>1120</v>
      </c>
      <c r="F102" s="521" t="s">
        <v>1121</v>
      </c>
      <c r="G102" s="528" t="s">
        <v>1122</v>
      </c>
      <c r="H102" s="521" t="s">
        <v>1123</v>
      </c>
      <c r="I102" s="521" t="s">
        <v>1124</v>
      </c>
    </row>
    <row r="103" customFormat="false" ht="15.75" hidden="false" customHeight="true" outlineLevel="0" collapsed="false">
      <c r="D103" s="524" t="str">
        <f aca="false">HLOOKUP($C$1,$E$1:$V$4910,ROW(D103))</f>
        <v>Potential for improvement</v>
      </c>
      <c r="E103" s="521" t="s">
        <v>1125</v>
      </c>
      <c r="F103" s="521" t="s">
        <v>1126</v>
      </c>
      <c r="G103" s="528" t="s">
        <v>1127</v>
      </c>
      <c r="H103" s="521" t="s">
        <v>1128</v>
      </c>
      <c r="I103" s="521" t="s">
        <v>1129</v>
      </c>
    </row>
    <row r="104" customFormat="false" ht="15.75" hidden="false" customHeight="true" outlineLevel="0" collapsed="false">
      <c r="D104" s="524" t="str">
        <f aca="false">HLOOKUP($C$1,$E$1:$V$4910,ROW(D104))</f>
        <v>Est%</v>
      </c>
      <c r="E104" s="521" t="s">
        <v>1130</v>
      </c>
      <c r="F104" s="521" t="s">
        <v>1131</v>
      </c>
      <c r="G104" s="528" t="s">
        <v>1132</v>
      </c>
      <c r="H104" s="521" t="s">
        <v>1133</v>
      </c>
      <c r="I104" s="521" t="s">
        <v>1134</v>
      </c>
    </row>
    <row r="105" customFormat="false" ht="15.75" hidden="false" customHeight="true" outlineLevel="0" collapsed="false">
      <c r="D105" s="524" t="str">
        <f aca="false">HLOOKUP($C$1,$E$1:$V$4910,ROW(D105))</f>
        <v>Points</v>
      </c>
      <c r="E105" s="521" t="s">
        <v>1135</v>
      </c>
      <c r="F105" s="521" t="s">
        <v>1136</v>
      </c>
      <c r="G105" s="528" t="s">
        <v>1137</v>
      </c>
      <c r="H105" s="521" t="s">
        <v>1138</v>
      </c>
      <c r="I105" s="521" t="s">
        <v>1137</v>
      </c>
    </row>
    <row r="106" customFormat="false" ht="15.75" hidden="false" customHeight="true" outlineLevel="0" collapsed="false">
      <c r="D106" s="524" t="str">
        <f aca="false">HLOOKUP($C$1,$E$1:$V$4910,ROW(D106))</f>
        <v>Max.</v>
      </c>
      <c r="E106" s="521" t="s">
        <v>1139</v>
      </c>
      <c r="F106" s="521" t="s">
        <v>1139</v>
      </c>
      <c r="G106" s="528" t="s">
        <v>1139</v>
      </c>
      <c r="H106" s="521" t="s">
        <v>1139</v>
      </c>
      <c r="I106" s="521" t="s">
        <v>1139</v>
      </c>
    </row>
    <row r="107" customFormat="false" ht="15.75" hidden="false" customHeight="true" outlineLevel="0" collapsed="false">
      <c r="D107" s="524" t="str">
        <f aca="false">HLOOKUP($C$1,$E$1:$V$4910,ROW(D107))</f>
        <v>Stakeholders/ Themes/ Aspects</v>
      </c>
      <c r="E107" s="521" t="s">
        <v>1090</v>
      </c>
      <c r="F107" s="521" t="s">
        <v>1140</v>
      </c>
      <c r="G107" s="528" t="s">
        <v>1141</v>
      </c>
      <c r="H107" s="521" t="s">
        <v>1093</v>
      </c>
      <c r="I107" s="521" t="s">
        <v>1142</v>
      </c>
    </row>
    <row r="108" customFormat="false" ht="15.75" hidden="false" customHeight="true" outlineLevel="0" collapsed="false">
      <c r="B108" s="540" t="str">
        <f aca="false">C108&amp;": "&amp;D108</f>
        <v>A: Suppliers</v>
      </c>
      <c r="C108" s="89" t="s">
        <v>38</v>
      </c>
      <c r="D108" s="524" t="str">
        <f aca="false">HLOOKUP($C$1,$E$1:$V$4910,ROW(D108))</f>
        <v>Suppliers</v>
      </c>
      <c r="E108" s="541" t="s">
        <v>1143</v>
      </c>
      <c r="F108" s="542" t="s">
        <v>1144</v>
      </c>
      <c r="G108" s="528" t="s">
        <v>1145</v>
      </c>
      <c r="H108" s="521" t="s">
        <v>1146</v>
      </c>
      <c r="I108" s="521" t="s">
        <v>1147</v>
      </c>
    </row>
    <row r="109" customFormat="false" ht="28.5" hidden="false" customHeight="true" outlineLevel="0" collapsed="false">
      <c r="B109" s="520" t="str">
        <f aca="false">C109&amp;": "&amp;D109</f>
        <v>A1: Human dignity in the supply chain</v>
      </c>
      <c r="C109" s="96" t="s">
        <v>39</v>
      </c>
      <c r="D109" s="524" t="str">
        <f aca="false">HLOOKUP($C$1,$E$1:$V$4910,ROW(D109))</f>
        <v>Human dignity in the supply chain</v>
      </c>
      <c r="E109" s="126" t="s">
        <v>1148</v>
      </c>
      <c r="F109" s="543" t="s">
        <v>1149</v>
      </c>
      <c r="G109" s="528" t="s">
        <v>1150</v>
      </c>
      <c r="H109" s="521" t="s">
        <v>1151</v>
      </c>
      <c r="I109" s="521" t="s">
        <v>1152</v>
      </c>
    </row>
    <row r="110" customFormat="false" ht="28.5" hidden="false" customHeight="true" outlineLevel="0" collapsed="false">
      <c r="C110" s="103" t="s">
        <v>40</v>
      </c>
      <c r="D110" s="524" t="str">
        <f aca="false">HLOOKUP($C$1,$E$1:$V$4910,ROW(D110))</f>
        <v>Working conditions and social impact in the supply chain</v>
      </c>
      <c r="E110" s="103" t="s">
        <v>1153</v>
      </c>
      <c r="F110" s="521" t="s">
        <v>1154</v>
      </c>
      <c r="G110" s="528" t="s">
        <v>1155</v>
      </c>
      <c r="H110" s="521" t="s">
        <v>1156</v>
      </c>
      <c r="I110" s="521" t="s">
        <v>1157</v>
      </c>
    </row>
    <row r="111" customFormat="false" ht="28.5" hidden="false" customHeight="true" outlineLevel="0" collapsed="false">
      <c r="C111" s="103" t="s">
        <v>41</v>
      </c>
      <c r="D111" s="524" t="str">
        <f aca="false">HLOOKUP($C$1,$E$1:$V$4910,ROW(D111))</f>
        <v>Negative aspect: violation of human dignity in the supply chain</v>
      </c>
      <c r="E111" s="103" t="s">
        <v>1158</v>
      </c>
      <c r="F111" s="528" t="s">
        <v>1159</v>
      </c>
      <c r="G111" s="528" t="s">
        <v>1160</v>
      </c>
      <c r="H111" s="521" t="s">
        <v>1161</v>
      </c>
      <c r="I111" s="521" t="s">
        <v>1162</v>
      </c>
    </row>
    <row r="112" customFormat="false" ht="28.5" hidden="false" customHeight="true" outlineLevel="0" collapsed="false">
      <c r="B112" s="520" t="str">
        <f aca="false">C112&amp;": "&amp;D112</f>
        <v>A2: Solidarity and social justice in the supply chain</v>
      </c>
      <c r="C112" s="96" t="s">
        <v>42</v>
      </c>
      <c r="D112" s="524" t="str">
        <f aca="false">HLOOKUP($C$1,$E$1:$V$4910,ROW(D112))</f>
        <v>Solidarity and social justice in the supply chain</v>
      </c>
      <c r="E112" s="126" t="s">
        <v>1163</v>
      </c>
      <c r="F112" s="543" t="s">
        <v>1164</v>
      </c>
      <c r="G112" s="528" t="s">
        <v>1165</v>
      </c>
      <c r="H112" s="521" t="s">
        <v>1166</v>
      </c>
      <c r="I112" s="521" t="s">
        <v>1167</v>
      </c>
    </row>
    <row r="113" customFormat="false" ht="28.5" hidden="false" customHeight="true" outlineLevel="0" collapsed="false">
      <c r="C113" s="103" t="s">
        <v>43</v>
      </c>
      <c r="D113" s="524" t="str">
        <f aca="false">HLOOKUP($C$1,$E$1:$V$4910,ROW(D113))</f>
        <v>Fair business practices towards direct suppliers</v>
      </c>
      <c r="E113" s="103" t="s">
        <v>1168</v>
      </c>
      <c r="F113" s="521" t="s">
        <v>1169</v>
      </c>
      <c r="G113" s="528" t="s">
        <v>1170</v>
      </c>
      <c r="H113" s="521" t="s">
        <v>1171</v>
      </c>
      <c r="I113" s="521" t="s">
        <v>1172</v>
      </c>
    </row>
    <row r="114" customFormat="false" ht="28.5" hidden="false" customHeight="true" outlineLevel="0" collapsed="false">
      <c r="C114" s="103" t="s">
        <v>44</v>
      </c>
      <c r="D114" s="524" t="str">
        <f aca="false">HLOOKUP($C$1,$E$1:$V$4910,ROW(D114))</f>
        <v>Exercising a positive influence on solidarity and social justice in the supply chain</v>
      </c>
      <c r="E114" s="103" t="s">
        <v>1173</v>
      </c>
      <c r="F114" s="521" t="s">
        <v>1174</v>
      </c>
      <c r="G114" s="528" t="s">
        <v>1175</v>
      </c>
      <c r="H114" s="521" t="s">
        <v>1176</v>
      </c>
      <c r="I114" s="521" t="s">
        <v>1177</v>
      </c>
    </row>
    <row r="115" customFormat="false" ht="28.5" hidden="false" customHeight="true" outlineLevel="0" collapsed="false">
      <c r="C115" s="103" t="s">
        <v>45</v>
      </c>
      <c r="D115" s="524" t="str">
        <f aca="false">HLOOKUP($C$1,$E$1:$V$4910,ROW(D115))</f>
        <v>Negative aspect: abuse of market power against suppliers</v>
      </c>
      <c r="E115" s="103" t="s">
        <v>1178</v>
      </c>
      <c r="F115" s="521" t="s">
        <v>1179</v>
      </c>
      <c r="G115" s="528" t="s">
        <v>1180</v>
      </c>
      <c r="H115" s="521" t="s">
        <v>1181</v>
      </c>
      <c r="I115" s="521" t="s">
        <v>1182</v>
      </c>
    </row>
    <row r="116" customFormat="false" ht="28.5" hidden="false" customHeight="true" outlineLevel="0" collapsed="false">
      <c r="B116" s="520" t="str">
        <f aca="false">C116&amp;": "&amp;D116</f>
        <v>A3: Environmental sustainability in the supply chain</v>
      </c>
      <c r="C116" s="96" t="s">
        <v>46</v>
      </c>
      <c r="D116" s="524" t="str">
        <f aca="false">HLOOKUP($C$1,$E$1:$V$4910,ROW(D116))</f>
        <v>Environmental sustainability in the supply chain</v>
      </c>
      <c r="E116" s="126" t="s">
        <v>1183</v>
      </c>
      <c r="F116" s="543" t="s">
        <v>1184</v>
      </c>
      <c r="G116" s="528" t="s">
        <v>1185</v>
      </c>
      <c r="H116" s="521" t="s">
        <v>1186</v>
      </c>
      <c r="I116" s="521" t="s">
        <v>1187</v>
      </c>
    </row>
    <row r="117" customFormat="false" ht="28.5" hidden="false" customHeight="true" outlineLevel="0" collapsed="false">
      <c r="C117" s="103" t="s">
        <v>47</v>
      </c>
      <c r="D117" s="524" t="str">
        <f aca="false">HLOOKUP($C$1,$E$1:$V$4910,ROW(D117))</f>
        <v>Environmental impact throughout the supply chain</v>
      </c>
      <c r="E117" s="103" t="s">
        <v>1188</v>
      </c>
      <c r="F117" s="521" t="s">
        <v>1189</v>
      </c>
      <c r="G117" s="528" t="s">
        <v>1190</v>
      </c>
      <c r="H117" s="521" t="s">
        <v>1191</v>
      </c>
      <c r="I117" s="521" t="s">
        <v>1192</v>
      </c>
    </row>
    <row r="118" customFormat="false" ht="41.25" hidden="false" customHeight="true" outlineLevel="0" collapsed="false">
      <c r="C118" s="103" t="s">
        <v>48</v>
      </c>
      <c r="D118" s="524" t="str">
        <f aca="false">HLOOKUP($C$1,$E$1:$V$4910,ROW(D118))</f>
        <v>Negative aspect: disproportionate environmental impact throughout the supply chain</v>
      </c>
      <c r="E118" s="103" t="s">
        <v>1193</v>
      </c>
      <c r="F118" s="521" t="s">
        <v>1194</v>
      </c>
      <c r="G118" s="528" t="s">
        <v>1195</v>
      </c>
      <c r="H118" s="521" t="s">
        <v>1196</v>
      </c>
      <c r="I118" s="521" t="s">
        <v>1197</v>
      </c>
    </row>
    <row r="119" customFormat="false" ht="41.25" hidden="false" customHeight="true" outlineLevel="0" collapsed="false">
      <c r="B119" s="520" t="str">
        <f aca="false">C119&amp;": "&amp;D119</f>
        <v>A4: Transparency &amp; co-determination in the supply chain</v>
      </c>
      <c r="C119" s="96" t="s">
        <v>49</v>
      </c>
      <c r="D119" s="524" t="str">
        <f aca="false">HLOOKUP($C$1,$E$1:$V$4910,ROW(D119))</f>
        <v>Transparency &amp; co-determination in the supply chain</v>
      </c>
      <c r="E119" s="126" t="s">
        <v>1198</v>
      </c>
      <c r="F119" s="543" t="s">
        <v>1199</v>
      </c>
      <c r="G119" s="528" t="s">
        <v>1200</v>
      </c>
      <c r="H119" s="521" t="s">
        <v>1201</v>
      </c>
      <c r="I119" s="521" t="s">
        <v>1202</v>
      </c>
    </row>
    <row r="120" customFormat="false" ht="28.5" hidden="false" customHeight="true" outlineLevel="0" collapsed="false">
      <c r="C120" s="103" t="s">
        <v>50</v>
      </c>
      <c r="D120" s="524" t="str">
        <f aca="false">HLOOKUP($C$1,$E$1:$V$4910,ROW(D120))</f>
        <v>Transparency towards suppliers and their right to co-determination</v>
      </c>
      <c r="E120" s="103" t="s">
        <v>1203</v>
      </c>
      <c r="F120" s="521" t="s">
        <v>1204</v>
      </c>
      <c r="G120" s="528" t="s">
        <v>1205</v>
      </c>
      <c r="H120" s="521" t="s">
        <v>1206</v>
      </c>
      <c r="I120" s="521" t="s">
        <v>1207</v>
      </c>
    </row>
    <row r="121" customFormat="false" ht="38.25" hidden="false" customHeight="true" outlineLevel="0" collapsed="false">
      <c r="C121" s="103" t="s">
        <v>51</v>
      </c>
      <c r="D121" s="524" t="str">
        <f aca="false">HLOOKUP($C$1,$E$1:$V$4910,ROW(D121))</f>
        <v>Positive influence on transparency and co-determination throughout the supply chain</v>
      </c>
      <c r="E121" s="103" t="s">
        <v>1208</v>
      </c>
      <c r="F121" s="521" t="s">
        <v>1209</v>
      </c>
      <c r="G121" s="528" t="s">
        <v>1210</v>
      </c>
      <c r="H121" s="521" t="s">
        <v>1211</v>
      </c>
      <c r="I121" s="521" t="s">
        <v>1212</v>
      </c>
    </row>
    <row r="122" customFormat="false" ht="28.5" hidden="false" customHeight="true" outlineLevel="0" collapsed="false">
      <c r="B122" s="540" t="str">
        <f aca="false">C122&amp;": "&amp;D122</f>
        <v>B: Owners, equity- and financial service providers</v>
      </c>
      <c r="C122" s="89" t="s">
        <v>52</v>
      </c>
      <c r="D122" s="524" t="str">
        <f aca="false">HLOOKUP($C$1,$E$1:$V$4910,ROW(D122))</f>
        <v>Owners, equity- and financial service providers</v>
      </c>
      <c r="E122" s="544" t="s">
        <v>1213</v>
      </c>
      <c r="F122" s="542" t="s">
        <v>1214</v>
      </c>
      <c r="G122" s="528" t="s">
        <v>1215</v>
      </c>
      <c r="H122" s="521" t="s">
        <v>1216</v>
      </c>
      <c r="I122" s="521" t="s">
        <v>1217</v>
      </c>
    </row>
    <row r="123" customFormat="false" ht="28.5" hidden="false" customHeight="true" outlineLevel="0" collapsed="false">
      <c r="B123" s="520" t="str">
        <f aca="false">C123&amp;": "&amp;D123</f>
        <v>B1: Ethical position in relation to financial resources</v>
      </c>
      <c r="C123" s="96" t="s">
        <v>53</v>
      </c>
      <c r="D123" s="524" t="str">
        <f aca="false">HLOOKUP($C$1,$E$1:$V$4910,ROW(D123))</f>
        <v>Ethical position in relation to financial resources</v>
      </c>
      <c r="E123" s="126" t="s">
        <v>1218</v>
      </c>
      <c r="F123" s="543" t="s">
        <v>1219</v>
      </c>
      <c r="G123" s="528" t="s">
        <v>1220</v>
      </c>
      <c r="H123" s="521" t="s">
        <v>1221</v>
      </c>
      <c r="I123" s="521" t="s">
        <v>1222</v>
      </c>
    </row>
    <row r="124" customFormat="false" ht="28.5" hidden="false" customHeight="true" outlineLevel="0" collapsed="false">
      <c r="C124" s="118" t="s">
        <v>54</v>
      </c>
      <c r="D124" s="524" t="str">
        <f aca="false">HLOOKUP($C$1,$E$1:$V$4910,ROW(D124))</f>
        <v>Financial independence through equity financing</v>
      </c>
      <c r="E124" s="103" t="s">
        <v>1223</v>
      </c>
      <c r="F124" s="521" t="s">
        <v>1224</v>
      </c>
      <c r="G124" s="528" t="s">
        <v>1225</v>
      </c>
      <c r="H124" s="521" t="s">
        <v>1226</v>
      </c>
      <c r="I124" s="521" t="s">
        <v>1227</v>
      </c>
    </row>
    <row r="125" customFormat="false" ht="28.5" hidden="false" customHeight="true" outlineLevel="0" collapsed="false">
      <c r="C125" s="33" t="s">
        <v>55</v>
      </c>
      <c r="D125" s="524" t="str">
        <f aca="false">HLOOKUP($C$1,$E$1:$V$4910,ROW(D125))</f>
        <v>Common Good-orientated borrowing</v>
      </c>
      <c r="E125" s="42" t="s">
        <v>1228</v>
      </c>
      <c r="F125" s="521" t="s">
        <v>1229</v>
      </c>
      <c r="G125" s="528" t="s">
        <v>1230</v>
      </c>
      <c r="H125" s="521" t="s">
        <v>1231</v>
      </c>
      <c r="I125" s="521" t="s">
        <v>1232</v>
      </c>
    </row>
    <row r="126" customFormat="false" ht="28.5" hidden="false" customHeight="true" outlineLevel="0" collapsed="false">
      <c r="C126" s="33" t="s">
        <v>56</v>
      </c>
      <c r="D126" s="524" t="str">
        <f aca="false">HLOOKUP($C$1,$E$1:$V$4910,ROW(D126))</f>
        <v>Ethical position of external financial partners</v>
      </c>
      <c r="E126" s="42" t="s">
        <v>1233</v>
      </c>
      <c r="F126" s="521" t="s">
        <v>1234</v>
      </c>
      <c r="G126" s="528" t="s">
        <v>1235</v>
      </c>
      <c r="H126" s="521" t="s">
        <v>1236</v>
      </c>
      <c r="I126" s="521" t="s">
        <v>1237</v>
      </c>
    </row>
    <row r="127" customFormat="false" ht="28.5" hidden="false" customHeight="true" outlineLevel="0" collapsed="false">
      <c r="B127" s="520" t="str">
        <f aca="false">C127&amp;": "&amp;D127</f>
        <v>B2: Social position in relation to financial resources</v>
      </c>
      <c r="C127" s="96" t="s">
        <v>57</v>
      </c>
      <c r="D127" s="524" t="str">
        <f aca="false">HLOOKUP($C$1,$E$1:$V$4910,ROW(D127))</f>
        <v>Social position in relation to financial resources</v>
      </c>
      <c r="E127" s="126" t="s">
        <v>1238</v>
      </c>
      <c r="F127" s="543" t="s">
        <v>1239</v>
      </c>
      <c r="G127" s="528" t="s">
        <v>1240</v>
      </c>
      <c r="H127" s="521" t="s">
        <v>1241</v>
      </c>
      <c r="I127" s="521" t="s">
        <v>1242</v>
      </c>
    </row>
    <row r="128" customFormat="false" ht="28.5" hidden="false" customHeight="true" outlineLevel="0" collapsed="false">
      <c r="C128" s="118" t="s">
        <v>58</v>
      </c>
      <c r="D128" s="524" t="str">
        <f aca="false">HLOOKUP($C$1,$E$1:$V$4910,ROW(D128))</f>
        <v>Solidarity and Common Good-orientated use of funds</v>
      </c>
      <c r="E128" s="103" t="s">
        <v>1243</v>
      </c>
      <c r="F128" s="521" t="s">
        <v>1244</v>
      </c>
      <c r="G128" s="528" t="s">
        <v>1245</v>
      </c>
      <c r="H128" s="521" t="s">
        <v>1246</v>
      </c>
      <c r="I128" s="521" t="s">
        <v>1247</v>
      </c>
    </row>
    <row r="129" customFormat="false" ht="28.5" hidden="false" customHeight="true" outlineLevel="0" collapsed="false">
      <c r="C129" s="33" t="s">
        <v>59</v>
      </c>
      <c r="D129" s="524" t="str">
        <f aca="false">HLOOKUP($C$1,$E$1:$V$4910,ROW(D129))</f>
        <v>Negative aspect: unfair distribution of funds</v>
      </c>
      <c r="E129" s="42" t="s">
        <v>1248</v>
      </c>
      <c r="F129" s="521" t="s">
        <v>1249</v>
      </c>
      <c r="G129" s="528" t="s">
        <v>1250</v>
      </c>
      <c r="H129" s="521" t="s">
        <v>1251</v>
      </c>
      <c r="I129" s="521" t="s">
        <v>1252</v>
      </c>
    </row>
    <row r="130" customFormat="false" ht="28.5" hidden="false" customHeight="true" outlineLevel="0" collapsed="false">
      <c r="B130" s="520" t="str">
        <f aca="false">C130&amp;": "&amp;D130</f>
        <v>B3: Use of funds in relation to social and environmental impacts</v>
      </c>
      <c r="C130" s="96" t="s">
        <v>60</v>
      </c>
      <c r="D130" s="524" t="str">
        <f aca="false">HLOOKUP($C$1,$E$1:$V$4910,ROW(D130))</f>
        <v>Use of funds in relation to social and environmental impacts</v>
      </c>
      <c r="E130" s="126" t="s">
        <v>1253</v>
      </c>
      <c r="F130" s="543" t="s">
        <v>1254</v>
      </c>
      <c r="G130" s="528" t="s">
        <v>1255</v>
      </c>
      <c r="H130" s="521" t="s">
        <v>1256</v>
      </c>
      <c r="I130" s="521" t="s">
        <v>1257</v>
      </c>
    </row>
    <row r="131" customFormat="false" ht="15.75" hidden="false" customHeight="true" outlineLevel="0" collapsed="false">
      <c r="C131" s="118" t="s">
        <v>61</v>
      </c>
      <c r="D131" s="524" t="str">
        <f aca="false">HLOOKUP($C$1,$E$1:$V$4910,ROW(D131))</f>
        <v>Environmental quality of investments</v>
      </c>
      <c r="E131" s="103" t="s">
        <v>1258</v>
      </c>
      <c r="F131" s="521" t="s">
        <v>1259</v>
      </c>
      <c r="G131" s="528" t="s">
        <v>1260</v>
      </c>
      <c r="H131" s="521" t="s">
        <v>1261</v>
      </c>
      <c r="I131" s="521" t="s">
        <v>1262</v>
      </c>
    </row>
    <row r="132" customFormat="false" ht="15.75" hidden="false" customHeight="true" outlineLevel="0" collapsed="false">
      <c r="C132" s="33" t="s">
        <v>62</v>
      </c>
      <c r="D132" s="524" t="str">
        <f aca="false">HLOOKUP($C$1,$E$1:$V$4910,ROW(D132))</f>
        <v>Common Good-orientated investment</v>
      </c>
      <c r="E132" s="42" t="s">
        <v>1263</v>
      </c>
      <c r="F132" s="521" t="s">
        <v>1264</v>
      </c>
      <c r="G132" s="528" t="s">
        <v>1265</v>
      </c>
      <c r="H132" s="521" t="s">
        <v>1266</v>
      </c>
      <c r="I132" s="521" t="s">
        <v>1267</v>
      </c>
    </row>
    <row r="133" customFormat="false" ht="28.5" hidden="false" customHeight="true" outlineLevel="0" collapsed="false">
      <c r="C133" s="33" t="s">
        <v>63</v>
      </c>
      <c r="D133" s="524" t="str">
        <f aca="false">HLOOKUP($C$1,$E$1:$V$4910,ROW(D133))</f>
        <v>Negative aspect: reliance on environmentally unsafe resources</v>
      </c>
      <c r="E133" s="42" t="s">
        <v>1268</v>
      </c>
      <c r="F133" s="521" t="s">
        <v>1269</v>
      </c>
      <c r="G133" s="528" t="s">
        <v>1270</v>
      </c>
      <c r="H133" s="521" t="s">
        <v>1271</v>
      </c>
      <c r="I133" s="521" t="s">
        <v>1272</v>
      </c>
    </row>
    <row r="134" customFormat="false" ht="28.5" hidden="false" customHeight="true" outlineLevel="0" collapsed="false">
      <c r="B134" s="520" t="str">
        <f aca="false">C134&amp;": "&amp;D134</f>
        <v>B4: Ownership and co-determination</v>
      </c>
      <c r="C134" s="96" t="s">
        <v>64</v>
      </c>
      <c r="D134" s="524" t="str">
        <f aca="false">HLOOKUP($C$1,$E$1:$V$4910,ROW(D134))</f>
        <v>Ownership and co-determination</v>
      </c>
      <c r="E134" s="126" t="s">
        <v>1273</v>
      </c>
      <c r="F134" s="543" t="s">
        <v>1274</v>
      </c>
      <c r="G134" s="528" t="s">
        <v>1275</v>
      </c>
      <c r="H134" s="521" t="s">
        <v>1276</v>
      </c>
      <c r="I134" s="521" t="s">
        <v>1277</v>
      </c>
    </row>
    <row r="135" customFormat="false" ht="28.5" hidden="false" customHeight="true" outlineLevel="0" collapsed="false">
      <c r="C135" s="118" t="s">
        <v>65</v>
      </c>
      <c r="D135" s="524" t="str">
        <f aca="false">HLOOKUP($C$1,$E$1:$V$4910,ROW(D135))</f>
        <v>Common Good-orientated ownership structure</v>
      </c>
      <c r="E135" s="103" t="s">
        <v>1278</v>
      </c>
      <c r="F135" s="521" t="s">
        <v>1279</v>
      </c>
      <c r="G135" s="528" t="s">
        <v>1280</v>
      </c>
      <c r="H135" s="521" t="s">
        <v>1281</v>
      </c>
      <c r="I135" s="521" t="s">
        <v>1282</v>
      </c>
    </row>
    <row r="136" customFormat="false" ht="28.5" hidden="false" customHeight="true" outlineLevel="0" collapsed="false">
      <c r="C136" s="33" t="s">
        <v>66</v>
      </c>
      <c r="D136" s="524" t="str">
        <f aca="false">HLOOKUP($C$1,$E$1:$V$4910,ROW(D136))</f>
        <v>Negative aspect: hostile takeover</v>
      </c>
      <c r="E136" s="42" t="s">
        <v>1283</v>
      </c>
      <c r="F136" s="521" t="s">
        <v>1284</v>
      </c>
      <c r="G136" s="528" t="s">
        <v>1285</v>
      </c>
      <c r="H136" s="521" t="s">
        <v>1286</v>
      </c>
      <c r="I136" s="521" t="s">
        <v>1287</v>
      </c>
    </row>
    <row r="137" customFormat="false" ht="15.75" hidden="false" customHeight="true" outlineLevel="0" collapsed="false">
      <c r="B137" s="540" t="str">
        <f aca="false">C137&amp;": "&amp;D137</f>
        <v>C: Employees</v>
      </c>
      <c r="C137" s="89" t="s">
        <v>67</v>
      </c>
      <c r="D137" s="524" t="str">
        <f aca="false">HLOOKUP($C$1,$E$1:$V$4910,ROW(D137))</f>
        <v>Employees</v>
      </c>
      <c r="E137" s="544" t="s">
        <v>1288</v>
      </c>
      <c r="F137" s="542" t="s">
        <v>1289</v>
      </c>
      <c r="G137" s="528" t="s">
        <v>1290</v>
      </c>
      <c r="H137" s="521" t="s">
        <v>1291</v>
      </c>
      <c r="I137" s="521" t="s">
        <v>1292</v>
      </c>
    </row>
    <row r="138" customFormat="false" ht="28.5" hidden="false" customHeight="true" outlineLevel="0" collapsed="false">
      <c r="B138" s="520" t="str">
        <f aca="false">C138&amp;": "&amp;D138</f>
        <v>C1: Human dignity in the workplace and working environment</v>
      </c>
      <c r="C138" s="96" t="s">
        <v>68</v>
      </c>
      <c r="D138" s="524" t="str">
        <f aca="false">HLOOKUP($C$1,$E$1:$V$4910,ROW(D138))</f>
        <v>Human dignity in the workplace and working environment</v>
      </c>
      <c r="E138" s="126" t="s">
        <v>1293</v>
      </c>
      <c r="F138" s="543" t="s">
        <v>1294</v>
      </c>
      <c r="G138" s="528" t="s">
        <v>1295</v>
      </c>
      <c r="H138" s="521" t="s">
        <v>1296</v>
      </c>
      <c r="I138" s="521" t="s">
        <v>1297</v>
      </c>
    </row>
    <row r="139" customFormat="false" ht="28.5" hidden="false" customHeight="true" outlineLevel="0" collapsed="false">
      <c r="C139" s="103" t="s">
        <v>69</v>
      </c>
      <c r="D139" s="524" t="str">
        <f aca="false">HLOOKUP($C$1,$E$1:$V$4910,ROW(D139))</f>
        <v>Employee-focused organisational culture</v>
      </c>
      <c r="E139" s="103" t="s">
        <v>1298</v>
      </c>
      <c r="F139" s="521" t="s">
        <v>1299</v>
      </c>
      <c r="G139" s="528" t="s">
        <v>1300</v>
      </c>
      <c r="H139" s="521" t="s">
        <v>1301</v>
      </c>
      <c r="I139" s="521" t="s">
        <v>1302</v>
      </c>
    </row>
    <row r="140" customFormat="false" ht="28.5" hidden="false" customHeight="true" outlineLevel="0" collapsed="false">
      <c r="C140" s="42" t="s">
        <v>70</v>
      </c>
      <c r="D140" s="524" t="str">
        <f aca="false">HLOOKUP($C$1,$E$1:$V$4910,ROW(D140))</f>
        <v>Health promotion and occupational health and safety</v>
      </c>
      <c r="E140" s="42" t="s">
        <v>1303</v>
      </c>
      <c r="F140" s="521" t="s">
        <v>1304</v>
      </c>
      <c r="G140" s="528" t="s">
        <v>1305</v>
      </c>
      <c r="H140" s="521" t="s">
        <v>1306</v>
      </c>
      <c r="I140" s="521" t="s">
        <v>1307</v>
      </c>
    </row>
    <row r="141" customFormat="false" ht="15.75" hidden="false" customHeight="true" outlineLevel="0" collapsed="false">
      <c r="C141" s="42" t="s">
        <v>71</v>
      </c>
      <c r="D141" s="524" t="str">
        <f aca="false">HLOOKUP($C$1,$E$1:$V$4910,ROW(D141))</f>
        <v>Diversity and equal opportunities</v>
      </c>
      <c r="E141" s="42" t="s">
        <v>1308</v>
      </c>
      <c r="F141" s="521" t="s">
        <v>1309</v>
      </c>
      <c r="G141" s="528" t="s">
        <v>1310</v>
      </c>
      <c r="H141" s="521" t="s">
        <v>1311</v>
      </c>
      <c r="I141" s="521" t="s">
        <v>1312</v>
      </c>
    </row>
    <row r="142" customFormat="false" ht="28.5" hidden="false" customHeight="true" outlineLevel="0" collapsed="false">
      <c r="C142" s="122" t="s">
        <v>72</v>
      </c>
      <c r="D142" s="524" t="str">
        <f aca="false">HLOOKUP($C$1,$E$1:$V$4910,ROW(D142))</f>
        <v>Negative aspect: unfit working conditions</v>
      </c>
      <c r="E142" s="122" t="s">
        <v>1313</v>
      </c>
      <c r="F142" s="521" t="s">
        <v>1314</v>
      </c>
      <c r="G142" s="528" t="s">
        <v>1315</v>
      </c>
      <c r="H142" s="521" t="s">
        <v>1316</v>
      </c>
      <c r="I142" s="521" t="s">
        <v>1317</v>
      </c>
    </row>
    <row r="143" customFormat="false" ht="28.5" hidden="false" customHeight="true" outlineLevel="0" collapsed="false">
      <c r="B143" s="520" t="str">
        <f aca="false">C143&amp;": "&amp;D143</f>
        <v>C2: Self-determined working arrangements</v>
      </c>
      <c r="C143" s="96" t="s">
        <v>73</v>
      </c>
      <c r="D143" s="524" t="str">
        <f aca="false">HLOOKUP($C$1,$E$1:$V$4910,ROW(D143))</f>
        <v>Self-determined working arrangements</v>
      </c>
      <c r="E143" s="126" t="s">
        <v>1318</v>
      </c>
      <c r="F143" s="543" t="s">
        <v>1319</v>
      </c>
      <c r="G143" s="528" t="s">
        <v>1320</v>
      </c>
      <c r="H143" s="521" t="s">
        <v>1321</v>
      </c>
      <c r="I143" s="521" t="s">
        <v>1322</v>
      </c>
    </row>
    <row r="144" customFormat="false" ht="15.75" hidden="false" customHeight="true" outlineLevel="0" collapsed="false">
      <c r="C144" s="118" t="s">
        <v>74</v>
      </c>
      <c r="D144" s="524" t="str">
        <f aca="false">HLOOKUP($C$1,$E$1:$V$4910,ROW(D144))</f>
        <v>Pay structure</v>
      </c>
      <c r="E144" s="103" t="s">
        <v>1323</v>
      </c>
      <c r="F144" s="521" t="s">
        <v>1324</v>
      </c>
      <c r="G144" s="528" t="s">
        <v>1325</v>
      </c>
      <c r="H144" s="521" t="s">
        <v>1326</v>
      </c>
      <c r="I144" s="521" t="s">
        <v>1327</v>
      </c>
    </row>
    <row r="145" customFormat="false" ht="15.75" hidden="false" customHeight="true" outlineLevel="0" collapsed="false">
      <c r="C145" s="33" t="s">
        <v>75</v>
      </c>
      <c r="D145" s="524" t="str">
        <f aca="false">HLOOKUP($C$1,$E$1:$V$4910,ROW(D145))</f>
        <v>Structuring working time</v>
      </c>
      <c r="E145" s="42" t="s">
        <v>1328</v>
      </c>
      <c r="F145" s="521" t="s">
        <v>1329</v>
      </c>
      <c r="G145" s="528" t="s">
        <v>1330</v>
      </c>
      <c r="H145" s="521" t="s">
        <v>1331</v>
      </c>
      <c r="I145" s="521" t="s">
        <v>1332</v>
      </c>
    </row>
    <row r="146" customFormat="false" ht="28.5" hidden="false" customHeight="true" outlineLevel="0" collapsed="false">
      <c r="C146" s="123" t="s">
        <v>76</v>
      </c>
      <c r="D146" s="524" t="str">
        <f aca="false">HLOOKUP($C$1,$E$1:$V$4910,ROW(D146))</f>
        <v>Employment structure and work-life balance</v>
      </c>
      <c r="E146" s="122" t="s">
        <v>1333</v>
      </c>
      <c r="F146" s="521" t="s">
        <v>1334</v>
      </c>
      <c r="G146" s="528" t="s">
        <v>1335</v>
      </c>
      <c r="H146" s="521" t="s">
        <v>1336</v>
      </c>
      <c r="I146" s="521" t="s">
        <v>1337</v>
      </c>
    </row>
    <row r="147" customFormat="false" ht="28.5" hidden="false" customHeight="true" outlineLevel="0" collapsed="false">
      <c r="C147" s="123" t="s">
        <v>77</v>
      </c>
      <c r="D147" s="524" t="str">
        <f aca="false">HLOOKUP($C$1,$E$1:$V$4910,ROW(D147))</f>
        <v>Negative aspect: unfair employment contracts</v>
      </c>
      <c r="E147" s="122" t="s">
        <v>1338</v>
      </c>
      <c r="F147" s="521" t="s">
        <v>1339</v>
      </c>
      <c r="G147" s="528" t="s">
        <v>1340</v>
      </c>
      <c r="H147" s="521" t="s">
        <v>1341</v>
      </c>
      <c r="I147" s="521" t="s">
        <v>1342</v>
      </c>
    </row>
    <row r="148" customFormat="false" ht="41.25" hidden="false" customHeight="true" outlineLevel="0" collapsed="false">
      <c r="B148" s="520" t="str">
        <f aca="false">C148&amp;": "&amp;D148</f>
        <v>C3: Environmentally-friendly behaviour of staff</v>
      </c>
      <c r="C148" s="96" t="s">
        <v>78</v>
      </c>
      <c r="D148" s="524" t="str">
        <f aca="false">HLOOKUP($C$1,$E$1:$V$4910,ROW(D148))</f>
        <v>Environmentally-friendly behaviour of staff</v>
      </c>
      <c r="E148" s="126" t="s">
        <v>1343</v>
      </c>
      <c r="F148" s="543" t="s">
        <v>1344</v>
      </c>
      <c r="G148" s="528" t="s">
        <v>1345</v>
      </c>
      <c r="H148" s="521" t="s">
        <v>1346</v>
      </c>
      <c r="I148" s="521" t="s">
        <v>1347</v>
      </c>
    </row>
    <row r="149" customFormat="false" ht="15.75" hidden="false" customHeight="true" outlineLevel="0" collapsed="false">
      <c r="C149" s="118" t="s">
        <v>79</v>
      </c>
      <c r="D149" s="524" t="str">
        <f aca="false">HLOOKUP($C$1,$E$1:$V$4910,ROW(D149))</f>
        <v>Food during working hours</v>
      </c>
      <c r="E149" s="103" t="s">
        <v>1348</v>
      </c>
      <c r="F149" s="521" t="s">
        <v>1349</v>
      </c>
      <c r="G149" s="528" t="s">
        <v>1350</v>
      </c>
      <c r="H149" s="521" t="s">
        <v>1351</v>
      </c>
      <c r="I149" s="521" t="s">
        <v>1352</v>
      </c>
    </row>
    <row r="150" customFormat="false" ht="15.75" hidden="false" customHeight="true" outlineLevel="0" collapsed="false">
      <c r="C150" s="33" t="s">
        <v>80</v>
      </c>
      <c r="D150" s="524" t="str">
        <f aca="false">HLOOKUP($C$1,$E$1:$V$4910,ROW(D150))</f>
        <v>Travel to work</v>
      </c>
      <c r="E150" s="42" t="s">
        <v>1353</v>
      </c>
      <c r="F150" s="521" t="s">
        <v>1354</v>
      </c>
      <c r="G150" s="528" t="s">
        <v>1355</v>
      </c>
      <c r="H150" s="521" t="s">
        <v>1356</v>
      </c>
      <c r="I150" s="521" t="s">
        <v>1357</v>
      </c>
    </row>
    <row r="151" customFormat="false" ht="28.5" hidden="false" customHeight="true" outlineLevel="0" collapsed="false">
      <c r="C151" s="123" t="s">
        <v>81</v>
      </c>
      <c r="D151" s="524" t="str">
        <f aca="false">HLOOKUP($C$1,$E$1:$V$4910,ROW(D151))</f>
        <v>Organisational culture, cultivating awareness for an environmentally-friendly approach</v>
      </c>
      <c r="E151" s="122" t="s">
        <v>1358</v>
      </c>
      <c r="F151" s="521" t="s">
        <v>1359</v>
      </c>
      <c r="G151" s="528" t="s">
        <v>1360</v>
      </c>
      <c r="H151" s="521" t="s">
        <v>1361</v>
      </c>
      <c r="I151" s="521" t="s">
        <v>1362</v>
      </c>
    </row>
    <row r="152" customFormat="false" ht="41.25" hidden="false" customHeight="true" outlineLevel="0" collapsed="false">
      <c r="C152" s="123" t="s">
        <v>82</v>
      </c>
      <c r="D152" s="524" t="str">
        <f aca="false">HLOOKUP($C$1,$E$1:$V$4910,ROW(D152))</f>
        <v>Negative aspect: guidance on waste/ environmentally damaging practices</v>
      </c>
      <c r="E152" s="122" t="s">
        <v>1363</v>
      </c>
      <c r="F152" s="521" t="s">
        <v>1364</v>
      </c>
      <c r="G152" s="528" t="s">
        <v>1365</v>
      </c>
      <c r="H152" s="521" t="s">
        <v>1366</v>
      </c>
      <c r="I152" s="521" t="s">
        <v>1367</v>
      </c>
    </row>
    <row r="153" customFormat="false" ht="41.25" hidden="false" customHeight="true" outlineLevel="0" collapsed="false">
      <c r="B153" s="520" t="str">
        <f aca="false">C153&amp;": "&amp;D153</f>
        <v>C4: Co-determination and transparency within the organisation</v>
      </c>
      <c r="C153" s="96" t="s">
        <v>83</v>
      </c>
      <c r="D153" s="524" t="str">
        <f aca="false">HLOOKUP($C$1,$E$1:$V$4910,ROW(D153))</f>
        <v>Co-determination and transparency within the organisation</v>
      </c>
      <c r="E153" s="126" t="str">
        <f aca="false">"Innerbetriebliche Mitentscheidung und Transparenz"</f>
        <v>Innerbetriebliche Mitentscheidung und Transparenz</v>
      </c>
      <c r="F153" s="543" t="s">
        <v>1368</v>
      </c>
      <c r="G153" s="528" t="s">
        <v>1369</v>
      </c>
      <c r="H153" s="521" t="s">
        <v>1370</v>
      </c>
      <c r="I153" s="521" t="s">
        <v>1371</v>
      </c>
    </row>
    <row r="154" customFormat="false" ht="15.75" hidden="false" customHeight="true" outlineLevel="0" collapsed="false">
      <c r="C154" s="118" t="s">
        <v>84</v>
      </c>
      <c r="D154" s="524" t="str">
        <f aca="false">HLOOKUP($C$1,$E$1:$V$4910,ROW(D154))</f>
        <v>Transparency within the organisation</v>
      </c>
      <c r="E154" s="103" t="s">
        <v>1372</v>
      </c>
      <c r="F154" s="521" t="s">
        <v>1373</v>
      </c>
      <c r="G154" s="528" t="s">
        <v>1374</v>
      </c>
      <c r="H154" s="521" t="s">
        <v>1375</v>
      </c>
      <c r="I154" s="521" t="s">
        <v>1376</v>
      </c>
    </row>
    <row r="155" customFormat="false" ht="15.75" hidden="false" customHeight="true" outlineLevel="0" collapsed="false">
      <c r="C155" s="33" t="s">
        <v>85</v>
      </c>
      <c r="D155" s="524" t="str">
        <f aca="false">HLOOKUP($C$1,$E$1:$V$4910,ROW(D155))</f>
        <v>Legitimation of the management</v>
      </c>
      <c r="E155" s="42" t="s">
        <v>1377</v>
      </c>
      <c r="F155" s="521" t="s">
        <v>1378</v>
      </c>
      <c r="G155" s="528" t="s">
        <v>1379</v>
      </c>
      <c r="H155" s="521" t="s">
        <v>1380</v>
      </c>
      <c r="I155" s="521" t="s">
        <v>1381</v>
      </c>
    </row>
    <row r="156" customFormat="false" ht="28.5" hidden="false" customHeight="true" outlineLevel="0" collapsed="false">
      <c r="C156" s="33" t="s">
        <v>86</v>
      </c>
      <c r="D156" s="524" t="str">
        <f aca="false">HLOOKUP($C$1,$E$1:$V$4910,ROW(D156))</f>
        <v>Employee co-determination</v>
      </c>
      <c r="E156" s="42" t="s">
        <v>1382</v>
      </c>
      <c r="F156" s="521" t="s">
        <v>1383</v>
      </c>
      <c r="G156" s="528" t="s">
        <v>1384</v>
      </c>
      <c r="H156" s="521" t="s">
        <v>1385</v>
      </c>
      <c r="I156" s="521" t="s">
        <v>1386</v>
      </c>
    </row>
    <row r="157" customFormat="false" ht="28.5" hidden="false" customHeight="true" outlineLevel="0" collapsed="false">
      <c r="C157" s="55" t="s">
        <v>87</v>
      </c>
      <c r="D157" s="524" t="str">
        <f aca="false">HLOOKUP($C$1,$E$1:$V$4910,ROW(D157))</f>
        <v>Negative aspect: obstruction of works councils</v>
      </c>
      <c r="E157" s="124" t="s">
        <v>1387</v>
      </c>
      <c r="F157" s="521" t="s">
        <v>1388</v>
      </c>
      <c r="G157" s="528" t="s">
        <v>1389</v>
      </c>
      <c r="H157" s="521" t="s">
        <v>1390</v>
      </c>
      <c r="I157" s="521" t="s">
        <v>1391</v>
      </c>
    </row>
    <row r="158" customFormat="false" ht="15.75" hidden="false" customHeight="true" outlineLevel="0" collapsed="false">
      <c r="B158" s="540" t="str">
        <f aca="false">C158&amp;": "&amp;D158</f>
        <v>D: Customers and other companies</v>
      </c>
      <c r="C158" s="89" t="s">
        <v>88</v>
      </c>
      <c r="D158" s="524" t="str">
        <f aca="false">HLOOKUP($C$1,$E$1:$V$4910,ROW(D158))</f>
        <v>Customers and other companies</v>
      </c>
      <c r="E158" s="544" t="s">
        <v>1392</v>
      </c>
      <c r="F158" s="542" t="s">
        <v>1393</v>
      </c>
      <c r="G158" s="528" t="s">
        <v>1394</v>
      </c>
      <c r="H158" s="521" t="s">
        <v>1395</v>
      </c>
      <c r="I158" s="521" t="s">
        <v>1396</v>
      </c>
    </row>
    <row r="159" customFormat="false" ht="28.5" hidden="false" customHeight="true" outlineLevel="0" collapsed="false">
      <c r="B159" s="520" t="str">
        <f aca="false">C159&amp;": "&amp;D159</f>
        <v>D1: Ethical customer relations</v>
      </c>
      <c r="C159" s="96" t="s">
        <v>89</v>
      </c>
      <c r="D159" s="524" t="str">
        <f aca="false">HLOOKUP($C$1,$E$1:$V$4910,ROW(D159))</f>
        <v>Ethical customer relations</v>
      </c>
      <c r="E159" s="126" t="s">
        <v>1397</v>
      </c>
      <c r="F159" s="543" t="s">
        <v>1398</v>
      </c>
      <c r="G159" s="528" t="s">
        <v>1399</v>
      </c>
      <c r="H159" s="521" t="s">
        <v>1400</v>
      </c>
      <c r="I159" s="521" t="s">
        <v>1401</v>
      </c>
    </row>
    <row r="160" customFormat="false" ht="28.5" hidden="false" customHeight="true" outlineLevel="0" collapsed="false">
      <c r="C160" s="103" t="s">
        <v>90</v>
      </c>
      <c r="D160" s="524" t="str">
        <f aca="false">HLOOKUP($C$1,$E$1:$V$4910,ROW(D160))</f>
        <v>Respect for human dignity in communication with customers</v>
      </c>
      <c r="E160" s="103" t="s">
        <v>1402</v>
      </c>
      <c r="F160" s="521" t="s">
        <v>1403</v>
      </c>
      <c r="G160" s="528" t="s">
        <v>1404</v>
      </c>
      <c r="H160" s="521" t="s">
        <v>1405</v>
      </c>
      <c r="I160" s="521" t="s">
        <v>1406</v>
      </c>
    </row>
    <row r="161" customFormat="false" ht="15.75" hidden="false" customHeight="true" outlineLevel="0" collapsed="false">
      <c r="C161" s="33" t="s">
        <v>91</v>
      </c>
      <c r="D161" s="524" t="str">
        <f aca="false">HLOOKUP($C$1,$E$1:$V$4910,ROW(D161))</f>
        <v>Barrier-free access</v>
      </c>
      <c r="E161" s="103" t="s">
        <v>1407</v>
      </c>
      <c r="F161" s="521" t="s">
        <v>1408</v>
      </c>
      <c r="G161" s="528" t="s">
        <v>1409</v>
      </c>
      <c r="H161" s="521" t="s">
        <v>1410</v>
      </c>
      <c r="I161" s="521" t="s">
        <v>1411</v>
      </c>
    </row>
    <row r="162" customFormat="false" ht="28.5" hidden="false" customHeight="true" outlineLevel="0" collapsed="false">
      <c r="C162" s="42" t="s">
        <v>92</v>
      </c>
      <c r="D162" s="524" t="str">
        <f aca="false">HLOOKUP($C$1,$E$1:$V$4910,ROW(D162))</f>
        <v>Negative aspect: unethical advertising</v>
      </c>
      <c r="E162" s="103" t="s">
        <v>1412</v>
      </c>
      <c r="F162" s="521" t="s">
        <v>1413</v>
      </c>
      <c r="G162" s="528" t="s">
        <v>1414</v>
      </c>
      <c r="H162" s="521" t="s">
        <v>1415</v>
      </c>
      <c r="I162" s="521" t="s">
        <v>1416</v>
      </c>
    </row>
    <row r="163" customFormat="false" ht="28.5" hidden="false" customHeight="true" outlineLevel="0" collapsed="false">
      <c r="B163" s="520" t="str">
        <f aca="false">C163&amp;": "&amp;D163</f>
        <v>D2: Cooperation and solidarity with other companies</v>
      </c>
      <c r="C163" s="96" t="s">
        <v>93</v>
      </c>
      <c r="D163" s="524" t="str">
        <f aca="false">HLOOKUP($C$1,$E$1:$V$4910,ROW(D163))</f>
        <v>Cooperation and solidarity with other companies</v>
      </c>
      <c r="E163" s="126" t="s">
        <v>1417</v>
      </c>
      <c r="F163" s="543" t="s">
        <v>1418</v>
      </c>
      <c r="G163" s="528" t="s">
        <v>1419</v>
      </c>
      <c r="H163" s="521" t="s">
        <v>1420</v>
      </c>
      <c r="I163" s="521" t="s">
        <v>1421</v>
      </c>
    </row>
    <row r="164" customFormat="false" ht="15.75" hidden="false" customHeight="true" outlineLevel="0" collapsed="false">
      <c r="C164" s="103" t="s">
        <v>94</v>
      </c>
      <c r="D164" s="524" t="str">
        <f aca="false">HLOOKUP($C$1,$E$1:$V$4910,ROW(D164))</f>
        <v>Cooperation with other companies</v>
      </c>
      <c r="E164" s="103" t="s">
        <v>1422</v>
      </c>
      <c r="F164" s="521" t="s">
        <v>1423</v>
      </c>
      <c r="G164" s="528" t="s">
        <v>1424</v>
      </c>
      <c r="H164" s="521" t="s">
        <v>1425</v>
      </c>
      <c r="I164" s="521" t="s">
        <v>1426</v>
      </c>
    </row>
    <row r="165" customFormat="false" ht="15.75" hidden="false" customHeight="true" outlineLevel="0" collapsed="false">
      <c r="C165" s="42" t="s">
        <v>95</v>
      </c>
      <c r="D165" s="524" t="str">
        <f aca="false">HLOOKUP($C$1,$E$1:$V$4910,ROW(D165))</f>
        <v>Solidarity with other companies</v>
      </c>
      <c r="E165" s="103" t="s">
        <v>1427</v>
      </c>
      <c r="F165" s="521" t="s">
        <v>1428</v>
      </c>
      <c r="G165" s="528" t="s">
        <v>1429</v>
      </c>
      <c r="H165" s="521" t="s">
        <v>1430</v>
      </c>
      <c r="I165" s="521" t="s">
        <v>1431</v>
      </c>
    </row>
    <row r="166" customFormat="false" ht="28.5" hidden="false" customHeight="true" outlineLevel="0" collapsed="false">
      <c r="C166" s="122" t="s">
        <v>96</v>
      </c>
      <c r="D166" s="524" t="str">
        <f aca="false">HLOOKUP($C$1,$E$1:$V$4910,ROW(D166))</f>
        <v>Negative aspect: abuse of market power to the detriment of other companies</v>
      </c>
      <c r="E166" s="124" t="s">
        <v>1432</v>
      </c>
      <c r="F166" s="521" t="s">
        <v>1433</v>
      </c>
      <c r="G166" s="528" t="s">
        <v>1434</v>
      </c>
      <c r="H166" s="521" t="s">
        <v>1435</v>
      </c>
      <c r="I166" s="521" t="s">
        <v>1436</v>
      </c>
    </row>
    <row r="167" customFormat="false" ht="41.25" hidden="false" customHeight="true" outlineLevel="0" collapsed="false">
      <c r="B167" s="520" t="str">
        <f aca="false">C167&amp;": "&amp;D167</f>
        <v>D3: Impact on the environment of the use and disposal of products and services</v>
      </c>
      <c r="C167" s="96" t="s">
        <v>97</v>
      </c>
      <c r="D167" s="524" t="str">
        <f aca="false">HLOOKUP($C$1,$E$1:$V$4910,ROW(D167))</f>
        <v>Impact on the environment of the use and disposal of products and services</v>
      </c>
      <c r="E167" s="126" t="s">
        <v>1437</v>
      </c>
      <c r="F167" s="543" t="s">
        <v>1438</v>
      </c>
      <c r="G167" s="528" t="s">
        <v>1439</v>
      </c>
      <c r="H167" s="521" t="s">
        <v>1440</v>
      </c>
      <c r="I167" s="521" t="s">
        <v>1441</v>
      </c>
    </row>
    <row r="168" customFormat="false" ht="41.25" hidden="false" customHeight="true" outlineLevel="0" collapsed="false">
      <c r="C168" s="103" t="s">
        <v>98</v>
      </c>
      <c r="D168" s="524" t="str">
        <f aca="false">HLOOKUP($C$1,$E$1:$V$4910,ROW(D168))</f>
        <v>Environmental cost-benefit ration of products and services (efficiency and consistency) </v>
      </c>
      <c r="E168" s="103" t="s">
        <v>1442</v>
      </c>
      <c r="F168" s="521" t="s">
        <v>1443</v>
      </c>
      <c r="G168" s="528" t="s">
        <v>1444</v>
      </c>
      <c r="H168" s="521" t="s">
        <v>1445</v>
      </c>
      <c r="I168" s="521" t="s">
        <v>1446</v>
      </c>
    </row>
    <row r="169" customFormat="false" ht="28.5" hidden="false" customHeight="true" outlineLevel="0" collapsed="false">
      <c r="C169" s="42" t="s">
        <v>99</v>
      </c>
      <c r="D169" s="524" t="str">
        <f aca="false">HLOOKUP($C$1,$E$1:$V$4910,ROW(D169))</f>
        <v>Moderate use of products and services (sufficiency)</v>
      </c>
      <c r="E169" s="103" t="s">
        <v>1447</v>
      </c>
      <c r="F169" s="521" t="s">
        <v>1448</v>
      </c>
      <c r="G169" s="528" t="s">
        <v>1449</v>
      </c>
      <c r="H169" s="521" t="s">
        <v>1450</v>
      </c>
      <c r="I169" s="521" t="s">
        <v>1451</v>
      </c>
    </row>
    <row r="170" customFormat="false" ht="38.25" hidden="false" customHeight="true" outlineLevel="0" collapsed="false">
      <c r="C170" s="122" t="s">
        <v>100</v>
      </c>
      <c r="D170" s="524" t="str">
        <f aca="false">HLOOKUP($C$1,$E$1:$V$4910,ROW(D170))</f>
        <v>Negative aspect: wilful disregard of disproportionate environmental impacts</v>
      </c>
      <c r="E170" s="124" t="s">
        <v>1452</v>
      </c>
      <c r="F170" s="521" t="s">
        <v>1453</v>
      </c>
      <c r="G170" s="528" t="s">
        <v>1454</v>
      </c>
      <c r="H170" s="521" t="s">
        <v>1455</v>
      </c>
      <c r="I170" s="521" t="s">
        <v>1456</v>
      </c>
    </row>
    <row r="171" customFormat="false" ht="28.5" hidden="false" customHeight="true" outlineLevel="0" collapsed="false">
      <c r="B171" s="520" t="str">
        <f aca="false">C171&amp;": "&amp;D171</f>
        <v>D4: Customer participation and product transparency</v>
      </c>
      <c r="C171" s="96" t="s">
        <v>101</v>
      </c>
      <c r="D171" s="524" t="str">
        <f aca="false">HLOOKUP($C$1,$E$1:$V$4910,ROW(D171))</f>
        <v>Customer participation and product transparency</v>
      </c>
      <c r="E171" s="126" t="s">
        <v>1457</v>
      </c>
      <c r="F171" s="543" t="s">
        <v>1458</v>
      </c>
      <c r="G171" s="528" t="s">
        <v>1459</v>
      </c>
      <c r="H171" s="521" t="s">
        <v>1460</v>
      </c>
      <c r="I171" s="521" t="s">
        <v>1461</v>
      </c>
    </row>
    <row r="172" customFormat="false" ht="28.5" hidden="false" customHeight="true" outlineLevel="0" collapsed="false">
      <c r="C172" s="103" t="s">
        <v>102</v>
      </c>
      <c r="D172" s="524" t="str">
        <f aca="false">HLOOKUP($C$1,$E$1:$V$4910,ROW(D172))</f>
        <v>Customer participation, joint product development and market research</v>
      </c>
      <c r="E172" s="103" t="s">
        <v>1462</v>
      </c>
      <c r="F172" s="521" t="s">
        <v>1463</v>
      </c>
      <c r="G172" s="528" t="s">
        <v>1464</v>
      </c>
      <c r="H172" s="521" t="s">
        <v>1465</v>
      </c>
      <c r="I172" s="521" t="s">
        <v>1466</v>
      </c>
    </row>
    <row r="173" customFormat="false" ht="15.75" hidden="false" customHeight="true" outlineLevel="0" collapsed="false">
      <c r="C173" s="122" t="s">
        <v>103</v>
      </c>
      <c r="D173" s="524" t="str">
        <f aca="false">HLOOKUP($C$1,$E$1:$V$4910,ROW(D173))</f>
        <v>Product transparency</v>
      </c>
      <c r="E173" s="124" t="s">
        <v>1467</v>
      </c>
      <c r="F173" s="521" t="s">
        <v>1468</v>
      </c>
      <c r="G173" s="528" t="s">
        <v>1469</v>
      </c>
      <c r="H173" s="521" t="s">
        <v>1470</v>
      </c>
      <c r="I173" s="521" t="s">
        <v>1471</v>
      </c>
    </row>
    <row r="174" customFormat="false" ht="28.5" hidden="false" customHeight="true" outlineLevel="0" collapsed="false">
      <c r="C174" s="122" t="s">
        <v>103</v>
      </c>
      <c r="D174" s="524" t="str">
        <f aca="false">HLOOKUP($C$1,$E$1:$V$4910,ROW(D174))</f>
        <v>Negative aspect: non-disclosure of hazardous substances</v>
      </c>
      <c r="E174" s="122" t="s">
        <v>1472</v>
      </c>
      <c r="F174" s="521" t="s">
        <v>1473</v>
      </c>
      <c r="G174" s="528" t="s">
        <v>1474</v>
      </c>
      <c r="H174" s="521" t="s">
        <v>1475</v>
      </c>
      <c r="I174" s="521" t="s">
        <v>1476</v>
      </c>
    </row>
    <row r="175" customFormat="false" ht="15.75" hidden="false" customHeight="true" outlineLevel="0" collapsed="false">
      <c r="B175" s="540" t="str">
        <f aca="false">C175&amp;": "&amp;D175</f>
        <v>E: Social environment</v>
      </c>
      <c r="C175" s="89" t="s">
        <v>104</v>
      </c>
      <c r="D175" s="524" t="str">
        <f aca="false">HLOOKUP($C$1,$E$1:$V$4910,ROW(D175))</f>
        <v>Social environment</v>
      </c>
      <c r="E175" s="544" t="s">
        <v>1477</v>
      </c>
      <c r="F175" s="542" t="s">
        <v>1478</v>
      </c>
      <c r="G175" s="528" t="s">
        <v>1479</v>
      </c>
      <c r="H175" s="521" t="s">
        <v>1480</v>
      </c>
      <c r="I175" s="521" t="s">
        <v>1481</v>
      </c>
    </row>
    <row r="176" customFormat="false" ht="28.5" hidden="false" customHeight="true" outlineLevel="0" collapsed="false">
      <c r="B176" s="520" t="str">
        <f aca="false">C176&amp;": "&amp;D176</f>
        <v>E1: Purpose of products and services and their effects on society</v>
      </c>
      <c r="C176" s="96" t="s">
        <v>105</v>
      </c>
      <c r="D176" s="524" t="str">
        <f aca="false">HLOOKUP($C$1,$E$1:$V$4910,ROW(D176))</f>
        <v>Purpose of products and services and their effects on society</v>
      </c>
      <c r="E176" s="126" t="s">
        <v>1482</v>
      </c>
      <c r="F176" s="543" t="s">
        <v>1483</v>
      </c>
      <c r="G176" s="528" t="s">
        <v>1484</v>
      </c>
      <c r="H176" s="521" t="s">
        <v>1485</v>
      </c>
      <c r="I176" s="521" t="s">
        <v>1486</v>
      </c>
    </row>
    <row r="177" customFormat="false" ht="28.5" hidden="false" customHeight="true" outlineLevel="0" collapsed="false">
      <c r="C177" s="103" t="s">
        <v>106</v>
      </c>
      <c r="D177" s="524" t="str">
        <f aca="false">HLOOKUP($C$1,$E$1:$V$4910,ROW(D177))</f>
        <v>Products and services should cover basic needs and contribute to a good life</v>
      </c>
      <c r="E177" s="103" t="s">
        <v>1487</v>
      </c>
      <c r="F177" s="521" t="s">
        <v>1488</v>
      </c>
      <c r="G177" s="528" t="s">
        <v>1489</v>
      </c>
      <c r="H177" s="521" t="s">
        <v>1490</v>
      </c>
      <c r="I177" s="521" t="s">
        <v>1491</v>
      </c>
    </row>
    <row r="178" customFormat="false" ht="28.5" hidden="false" customHeight="true" outlineLevel="0" collapsed="false">
      <c r="C178" s="122" t="s">
        <v>107</v>
      </c>
      <c r="D178" s="524" t="str">
        <f aca="false">HLOOKUP($C$1,$E$1:$V$4910,ROW(D178))</f>
        <v>Social impact of products and services</v>
      </c>
      <c r="E178" s="122" t="s">
        <v>1492</v>
      </c>
      <c r="F178" s="521" t="s">
        <v>1493</v>
      </c>
      <c r="G178" s="528" t="s">
        <v>1494</v>
      </c>
      <c r="H178" s="521" t="s">
        <v>1495</v>
      </c>
      <c r="I178" s="521" t="s">
        <v>1496</v>
      </c>
    </row>
    <row r="179" customFormat="false" ht="28.5" hidden="false" customHeight="true" outlineLevel="0" collapsed="false">
      <c r="C179" s="122" t="s">
        <v>108</v>
      </c>
      <c r="D179" s="524" t="str">
        <f aca="false">HLOOKUP($C$1,$E$1:$V$4910,ROW(D179))</f>
        <v>Negative aspect: unethical and unfit products and services</v>
      </c>
      <c r="E179" s="122" t="s">
        <v>1497</v>
      </c>
      <c r="F179" s="521" t="s">
        <v>1498</v>
      </c>
      <c r="G179" s="528" t="s">
        <v>1499</v>
      </c>
      <c r="H179" s="521" t="s">
        <v>1500</v>
      </c>
      <c r="I179" s="521" t="s">
        <v>1501</v>
      </c>
    </row>
    <row r="180" customFormat="false" ht="28.5" hidden="false" customHeight="true" outlineLevel="0" collapsed="false">
      <c r="B180" s="520" t="str">
        <f aca="false">C180&amp;": "&amp;D180</f>
        <v>E2: Contribution to the community</v>
      </c>
      <c r="C180" s="96" t="s">
        <v>109</v>
      </c>
      <c r="D180" s="524" t="str">
        <f aca="false">HLOOKUP($C$1,$E$1:$V$4910,ROW(D180))</f>
        <v>Contribution to the community</v>
      </c>
      <c r="E180" s="126" t="s">
        <v>1502</v>
      </c>
      <c r="F180" s="543" t="s">
        <v>1503</v>
      </c>
      <c r="G180" s="528" t="s">
        <v>1504</v>
      </c>
      <c r="H180" s="521" t="s">
        <v>1505</v>
      </c>
      <c r="I180" s="521" t="s">
        <v>1506</v>
      </c>
    </row>
    <row r="181" customFormat="false" ht="15.75" hidden="false" customHeight="true" outlineLevel="0" collapsed="false">
      <c r="C181" s="118" t="s">
        <v>110</v>
      </c>
      <c r="D181" s="524" t="str">
        <f aca="false">HLOOKUP($C$1,$E$1:$V$4910,ROW(D181))</f>
        <v>Taxes and social security contributions</v>
      </c>
      <c r="E181" s="103" t="s">
        <v>1507</v>
      </c>
      <c r="F181" s="521" t="s">
        <v>1508</v>
      </c>
      <c r="G181" s="528" t="s">
        <v>1509</v>
      </c>
      <c r="H181" s="521" t="s">
        <v>1510</v>
      </c>
      <c r="I181" s="521" t="s">
        <v>1511</v>
      </c>
    </row>
    <row r="182" customFormat="false" ht="28.5" hidden="false" customHeight="true" outlineLevel="0" collapsed="false">
      <c r="C182" s="33" t="s">
        <v>111</v>
      </c>
      <c r="D182" s="524" t="str">
        <f aca="false">HLOOKUP($C$1,$E$1:$V$4910,ROW(D182))</f>
        <v>Voluntary contributions that strengthen society</v>
      </c>
      <c r="E182" s="42" t="s">
        <v>1512</v>
      </c>
      <c r="F182" s="521" t="s">
        <v>1513</v>
      </c>
      <c r="G182" s="528" t="s">
        <v>1514</v>
      </c>
      <c r="H182" s="521" t="s">
        <v>1515</v>
      </c>
      <c r="I182" s="521" t="s">
        <v>1516</v>
      </c>
    </row>
    <row r="183" customFormat="false" ht="15.75" hidden="false" customHeight="true" outlineLevel="0" collapsed="false">
      <c r="C183" s="123" t="s">
        <v>112</v>
      </c>
      <c r="D183" s="545" t="str">
        <f aca="false">HLOOKUP($C$1,$E$1:$V$4910,ROW(D183))</f>
        <v>Negative aspect: inappropriate non-payment of tax</v>
      </c>
      <c r="E183" s="122" t="s">
        <v>1517</v>
      </c>
      <c r="F183" s="521" t="s">
        <v>1518</v>
      </c>
      <c r="G183" s="528" t="s">
        <v>1519</v>
      </c>
      <c r="H183" s="521" t="s">
        <v>1520</v>
      </c>
      <c r="I183" s="521" t="s">
        <v>1521</v>
      </c>
    </row>
    <row r="184" customFormat="false" ht="28.5" hidden="false" customHeight="true" outlineLevel="0" collapsed="false">
      <c r="C184" s="123" t="s">
        <v>113</v>
      </c>
      <c r="D184" s="524" t="str">
        <f aca="false">HLOOKUP($C$1,$E$1:$V$4910,ROW(D184))</f>
        <v>Negative aspect: no anti-corruption policy</v>
      </c>
      <c r="E184" s="122" t="s">
        <v>1522</v>
      </c>
      <c r="F184" s="521" t="s">
        <v>1523</v>
      </c>
      <c r="G184" s="528" t="s">
        <v>1524</v>
      </c>
      <c r="H184" s="521" t="s">
        <v>1525</v>
      </c>
      <c r="I184" s="521" t="s">
        <v>1526</v>
      </c>
    </row>
    <row r="185" customFormat="false" ht="28.5" hidden="false" customHeight="true" outlineLevel="0" collapsed="false">
      <c r="B185" s="520" t="str">
        <f aca="false">C185&amp;": "&amp;D185</f>
        <v>E3: Reduction of environmental impact</v>
      </c>
      <c r="C185" s="96" t="s">
        <v>114</v>
      </c>
      <c r="D185" s="524" t="str">
        <f aca="false">HLOOKUP($C$1,$E$1:$V$4910,ROW(D185))</f>
        <v>Reduction of environmental impact</v>
      </c>
      <c r="E185" s="126" t="s">
        <v>1527</v>
      </c>
      <c r="F185" s="543" t="s">
        <v>1528</v>
      </c>
      <c r="G185" s="528" t="s">
        <v>1529</v>
      </c>
      <c r="H185" s="521" t="s">
        <v>1530</v>
      </c>
      <c r="I185" s="521" t="s">
        <v>1531</v>
      </c>
    </row>
    <row r="186" customFormat="false" ht="28.5" hidden="false" customHeight="true" outlineLevel="0" collapsed="false">
      <c r="C186" s="118" t="s">
        <v>115</v>
      </c>
      <c r="D186" s="524" t="str">
        <f aca="false">HLOOKUP($C$1,$E$1:$V$4910,ROW(D186))</f>
        <v>Absolute impact and management strategy</v>
      </c>
      <c r="E186" s="103" t="s">
        <v>1532</v>
      </c>
      <c r="F186" s="521" t="s">
        <v>1533</v>
      </c>
      <c r="G186" s="528" t="s">
        <v>1534</v>
      </c>
      <c r="H186" s="521" t="s">
        <v>1535</v>
      </c>
      <c r="I186" s="521" t="s">
        <v>1536</v>
      </c>
    </row>
    <row r="187" customFormat="false" ht="15.75" hidden="false" customHeight="true" outlineLevel="0" collapsed="false">
      <c r="C187" s="33" t="s">
        <v>116</v>
      </c>
      <c r="D187" s="545" t="str">
        <f aca="false">HLOOKUP($C$1,$E$1:$V$4910,ROW(D187))</f>
        <v>Relative impact</v>
      </c>
      <c r="E187" s="42" t="s">
        <v>1537</v>
      </c>
      <c r="F187" s="521" t="s">
        <v>1538</v>
      </c>
      <c r="G187" s="528" t="s">
        <v>1539</v>
      </c>
      <c r="H187" s="521" t="s">
        <v>1540</v>
      </c>
      <c r="I187" s="521" t="s">
        <v>1541</v>
      </c>
    </row>
    <row r="188" customFormat="false" ht="41.25" hidden="false" customHeight="true" outlineLevel="0" collapsed="false">
      <c r="C188" s="123" t="s">
        <v>117</v>
      </c>
      <c r="D188" s="524" t="str">
        <f aca="false">HLOOKUP($C$1,$E$1:$V$4910,ROW(D188))</f>
        <v>Negative aspect: infringement of environmental regulations and disproportionate environmental pollution</v>
      </c>
      <c r="E188" s="122" t="s">
        <v>1542</v>
      </c>
      <c r="F188" s="521" t="s">
        <v>1543</v>
      </c>
      <c r="G188" s="528" t="s">
        <v>1544</v>
      </c>
      <c r="H188" s="521" t="s">
        <v>1545</v>
      </c>
      <c r="I188" s="521" t="s">
        <v>1546</v>
      </c>
    </row>
    <row r="189" customFormat="false" ht="28.5" hidden="false" customHeight="true" outlineLevel="0" collapsed="false">
      <c r="B189" s="520" t="str">
        <f aca="false">C189&amp;": "&amp;D189</f>
        <v>E4: Social co-determination and transparency</v>
      </c>
      <c r="C189" s="96" t="s">
        <v>118</v>
      </c>
      <c r="D189" s="524" t="str">
        <f aca="false">HLOOKUP($C$1,$E$1:$V$4910,ROW(D189))</f>
        <v>Social co-determination and transparency</v>
      </c>
      <c r="E189" s="126" t="s">
        <v>1547</v>
      </c>
      <c r="F189" s="543" t="s">
        <v>1548</v>
      </c>
      <c r="G189" s="528" t="s">
        <v>1549</v>
      </c>
      <c r="H189" s="521" t="s">
        <v>1550</v>
      </c>
      <c r="I189" s="521" t="s">
        <v>1551</v>
      </c>
    </row>
    <row r="190" customFormat="false" ht="15.75" hidden="false" customHeight="true" outlineLevel="0" collapsed="false">
      <c r="C190" s="118" t="s">
        <v>119</v>
      </c>
      <c r="D190" s="524" t="str">
        <f aca="false">HLOOKUP($C$1,$E$1:$V$4910,ROW(D190))</f>
        <v>Transparency</v>
      </c>
      <c r="E190" s="103" t="s">
        <v>1552</v>
      </c>
      <c r="F190" s="521" t="s">
        <v>1553</v>
      </c>
      <c r="G190" s="528" t="s">
        <v>1554</v>
      </c>
      <c r="H190" s="521" t="s">
        <v>1555</v>
      </c>
      <c r="I190" s="521" t="s">
        <v>1556</v>
      </c>
    </row>
    <row r="191" customFormat="false" ht="28.5" hidden="false" customHeight="true" outlineLevel="0" collapsed="false">
      <c r="C191" s="118" t="s">
        <v>120</v>
      </c>
      <c r="D191" s="545" t="str">
        <f aca="false">HLOOKUP($C$1,$E$1:$V$4910,ROW(D191))</f>
        <v>Social participation</v>
      </c>
      <c r="E191" s="103" t="s">
        <v>1557</v>
      </c>
      <c r="F191" s="521" t="s">
        <v>1558</v>
      </c>
      <c r="G191" s="528" t="s">
        <v>1559</v>
      </c>
      <c r="H191" s="521" t="s">
        <v>1560</v>
      </c>
      <c r="I191" s="521" t="s">
        <v>1561</v>
      </c>
    </row>
    <row r="192" customFormat="false" ht="28.5" hidden="false" customHeight="true" outlineLevel="0" collapsed="false">
      <c r="C192" s="118" t="s">
        <v>121</v>
      </c>
      <c r="D192" s="524" t="str">
        <f aca="false">HLOOKUP($C$1,$E$1:$V$4910,ROW(D192))</f>
        <v>Negative aspect: lack of transparency and wilful misinformation</v>
      </c>
      <c r="E192" s="103" t="s">
        <v>1562</v>
      </c>
      <c r="F192" s="521" t="s">
        <v>1563</v>
      </c>
      <c r="G192" s="528" t="s">
        <v>1564</v>
      </c>
      <c r="H192" s="521" t="s">
        <v>1565</v>
      </c>
      <c r="I192" s="521" t="s">
        <v>1566</v>
      </c>
    </row>
    <row r="193" customFormat="false" ht="15.75" hidden="false" customHeight="true" outlineLevel="0" collapsed="false">
      <c r="D193" s="524" t="n">
        <f aca="false">HLOOKUP($C$1,$E$1:$V$4910,ROW(D193))</f>
        <v>0</v>
      </c>
      <c r="E193" s="521"/>
      <c r="G193" s="528"/>
      <c r="H193" s="521"/>
      <c r="I193" s="521" t="n">
        <v>0</v>
      </c>
    </row>
    <row r="194" customFormat="false" ht="15.75" hidden="false" customHeight="true" outlineLevel="0" collapsed="false">
      <c r="D194" s="524" t="str">
        <f aca="false">HLOOKUP($C$1,$E$1:$V$4910,ROW(D194))</f>
        <v>Company details</v>
      </c>
      <c r="E194" s="521" t="s">
        <v>1567</v>
      </c>
      <c r="F194" s="521" t="s">
        <v>1568</v>
      </c>
      <c r="G194" s="528" t="s">
        <v>1569</v>
      </c>
      <c r="H194" s="521" t="s">
        <v>1570</v>
      </c>
      <c r="I194" s="521" t="s">
        <v>1571</v>
      </c>
    </row>
    <row r="195" customFormat="false" ht="121.5" hidden="false" customHeight="true" outlineLevel="0" collapsed="false">
      <c r="D195" s="524" t="str">
        <f aca="false">HLOOKUP($C$1,$E$1:$V$4910,ROW(D195))</f>
        <v>Fill in the highlighted fields below. Where detailed information is not available, please enter estimates, otherwise the calculation will not be accurate</v>
      </c>
      <c r="E195" s="527" t="s">
        <v>1572</v>
      </c>
      <c r="F195" s="521" t="s">
        <v>1573</v>
      </c>
      <c r="G195" s="528" t="s">
        <v>1574</v>
      </c>
      <c r="H195" s="521" t="s">
        <v>1575</v>
      </c>
      <c r="I195" s="521" t="s">
        <v>1576</v>
      </c>
    </row>
    <row r="196" customFormat="false" ht="15.75" hidden="false" customHeight="true" outlineLevel="0" collapsed="false">
      <c r="D196" s="524" t="n">
        <f aca="false">HLOOKUP($C$1,$E$1:$V$4910,ROW(D196))</f>
        <v>0</v>
      </c>
      <c r="E196" s="521"/>
      <c r="G196" s="528"/>
      <c r="H196" s="521"/>
      <c r="I196" s="521" t="n">
        <v>0</v>
      </c>
    </row>
    <row r="197" customFormat="false" ht="15.75" hidden="false" customHeight="true" outlineLevel="0" collapsed="false">
      <c r="D197" s="524" t="n">
        <f aca="false">HLOOKUP($C$1,$E$1:$V$4910,ROW(D197))</f>
        <v>0</v>
      </c>
      <c r="E197" s="521"/>
      <c r="G197" s="528"/>
      <c r="H197" s="521"/>
      <c r="I197" s="521" t="n">
        <v>0</v>
      </c>
    </row>
    <row r="198" customFormat="false" ht="15.75" hidden="false" customHeight="true" outlineLevel="0" collapsed="false">
      <c r="D198" s="524" t="n">
        <f aca="false">HLOOKUP($C$1,$E$1:$V$4910,ROW(D198))</f>
        <v>0</v>
      </c>
      <c r="E198" s="521"/>
      <c r="G198" s="528"/>
      <c r="H198" s="521"/>
      <c r="I198" s="521" t="n">
        <v>0</v>
      </c>
    </row>
    <row r="199" customFormat="false" ht="15.75" hidden="false" customHeight="true" outlineLevel="0" collapsed="false">
      <c r="D199" s="524" t="n">
        <f aca="false">HLOOKUP($C$1,$E$1:$V$4910,ROW(D199))</f>
        <v>0</v>
      </c>
      <c r="E199" s="521"/>
      <c r="G199" s="528"/>
      <c r="H199" s="521"/>
      <c r="I199" s="521" t="n">
        <v>0</v>
      </c>
    </row>
    <row r="200" customFormat="false" ht="15.75" hidden="false" customHeight="true" outlineLevel="0" collapsed="false">
      <c r="D200" s="524" t="n">
        <f aca="false">HLOOKUP($C$1,$E$1:$V$4910,ROW(D200))</f>
        <v>0</v>
      </c>
      <c r="E200" s="521"/>
      <c r="G200" s="528"/>
      <c r="H200" s="521"/>
      <c r="I200" s="521" t="n">
        <v>0</v>
      </c>
    </row>
    <row r="201" customFormat="false" ht="15.75" hidden="false" customHeight="true" outlineLevel="0" collapsed="false">
      <c r="D201" s="524" t="n">
        <f aca="false">HLOOKUP($C$1,$E$1:$V$4910,ROW(D201))</f>
        <v>0</v>
      </c>
      <c r="E201" s="521"/>
      <c r="G201" s="528"/>
      <c r="H201" s="521"/>
      <c r="I201" s="521" t="n">
        <v>0</v>
      </c>
    </row>
    <row r="202" customFormat="false" ht="15.75" hidden="false" customHeight="true" outlineLevel="0" collapsed="false">
      <c r="D202" s="524" t="str">
        <f aca="false">HLOOKUP($C$1,$E$1:$V$4910,ROW(D202))</f>
        <v>Please enter</v>
      </c>
      <c r="E202" s="521" t="s">
        <v>1577</v>
      </c>
      <c r="F202" s="521" t="s">
        <v>1578</v>
      </c>
      <c r="G202" s="528" t="s">
        <v>23</v>
      </c>
      <c r="H202" s="521" t="s">
        <v>1579</v>
      </c>
      <c r="I202" s="521" t="s">
        <v>1580</v>
      </c>
    </row>
    <row r="203" customFormat="false" ht="15.75" hidden="false" customHeight="true" outlineLevel="0" collapsed="false">
      <c r="D203" s="524" t="str">
        <f aca="false">HLOOKUP($C$1,$E$1:$V$4910,ROW(D203))</f>
        <v>Please choose</v>
      </c>
      <c r="E203" s="521" t="s">
        <v>1581</v>
      </c>
      <c r="F203" s="521" t="s">
        <v>1582</v>
      </c>
      <c r="G203" s="528" t="s">
        <v>1583</v>
      </c>
      <c r="H203" s="521" t="s">
        <v>1584</v>
      </c>
      <c r="I203" s="521" t="s">
        <v>1585</v>
      </c>
    </row>
    <row r="204" customFormat="false" ht="15.75" hidden="false" customHeight="true" outlineLevel="0" collapsed="false">
      <c r="D204" s="524" t="str">
        <f aca="false">HLOOKUP($C$1,$E$1:$V$4910,ROW(D204))</f>
        <v>Description of the weighting model</v>
      </c>
      <c r="E204" s="521" t="s">
        <v>1586</v>
      </c>
      <c r="F204" s="521" t="s">
        <v>1587</v>
      </c>
      <c r="G204" s="528" t="s">
        <v>1588</v>
      </c>
      <c r="H204" s="521" t="s">
        <v>1589</v>
      </c>
      <c r="I204" s="521" t="s">
        <v>1590</v>
      </c>
    </row>
    <row r="205" customFormat="false" ht="15.75" hidden="false" customHeight="true" outlineLevel="0" collapsed="false">
      <c r="D205" s="524" t="str">
        <f aca="false">HLOOKUP($C$1,$E$1:$V$4910,ROW(D205))</f>
        <v>Themes</v>
      </c>
      <c r="E205" s="521" t="s">
        <v>1591</v>
      </c>
      <c r="F205" s="521" t="s">
        <v>1592</v>
      </c>
      <c r="G205" s="528" t="s">
        <v>1593</v>
      </c>
      <c r="H205" s="521" t="s">
        <v>1594</v>
      </c>
      <c r="I205" s="521" t="s">
        <v>1595</v>
      </c>
    </row>
    <row r="206" customFormat="false" ht="28.5" hidden="false" customHeight="true" outlineLevel="0" collapsed="false">
      <c r="D206" s="524" t="str">
        <f aca="false">HLOOKUP($C$1,$E$1:$V$4910,ROW(D206))</f>
        <v>Values ►
Stakekolders ▼</v>
      </c>
      <c r="E206" s="546" t="s">
        <v>1596</v>
      </c>
      <c r="F206" s="546" t="s">
        <v>1597</v>
      </c>
      <c r="G206" s="546" t="s">
        <v>1598</v>
      </c>
      <c r="H206" s="521" t="s">
        <v>1599</v>
      </c>
      <c r="I206" s="521" t="s">
        <v>1600</v>
      </c>
    </row>
    <row r="207" customFormat="false" ht="15.75" hidden="false" customHeight="true" outlineLevel="0" collapsed="false">
      <c r="D207" s="524" t="str">
        <f aca="false">HLOOKUP($C$1,$E$1:$V$4910,ROW(D207))</f>
        <v>Stakekolders &amp; values</v>
      </c>
      <c r="E207" s="521" t="s">
        <v>1601</v>
      </c>
      <c r="F207" s="546" t="s">
        <v>1602</v>
      </c>
      <c r="G207" s="547" t="s">
        <v>1603</v>
      </c>
      <c r="H207" s="521" t="s">
        <v>1604</v>
      </c>
      <c r="I207" s="521" t="s">
        <v>1605</v>
      </c>
    </row>
    <row r="208" customFormat="false" ht="15.75" hidden="false" customHeight="true" outlineLevel="0" collapsed="false">
      <c r="D208" s="524" t="str">
        <f aca="false">HLOOKUP($C$1,$E$1:$V$4910,ROW(D208))</f>
        <v>General</v>
      </c>
      <c r="E208" s="521" t="s">
        <v>1606</v>
      </c>
      <c r="F208" s="521" t="s">
        <v>1607</v>
      </c>
      <c r="G208" s="528" t="s">
        <v>1608</v>
      </c>
      <c r="H208" s="521" t="s">
        <v>1608</v>
      </c>
      <c r="I208" s="521" t="s">
        <v>1609</v>
      </c>
    </row>
    <row r="209" customFormat="false" ht="15.75" hidden="false" customHeight="true" outlineLevel="0" collapsed="false">
      <c r="D209" s="524" t="str">
        <f aca="false">HLOOKUP($C$1,$E$1:$V$4910,ROW(D209))</f>
        <v>Notes</v>
      </c>
      <c r="E209" s="521" t="s">
        <v>1610</v>
      </c>
      <c r="F209" s="521" t="s">
        <v>1611</v>
      </c>
      <c r="G209" s="528" t="s">
        <v>1612</v>
      </c>
      <c r="H209" s="521" t="s">
        <v>1613</v>
      </c>
      <c r="I209" s="521" t="s">
        <v>1612</v>
      </c>
    </row>
    <row r="210" customFormat="false" ht="15.75" hidden="false" customHeight="true" outlineLevel="0" collapsed="false">
      <c r="D210" s="524" t="str">
        <f aca="false">HLOOKUP($C$1,$E$1:$V$4910,ROW(D210))</f>
        <v> (scaled for STs)</v>
      </c>
      <c r="E210" s="521" t="s">
        <v>1614</v>
      </c>
      <c r="F210" s="521" t="s">
        <v>1615</v>
      </c>
      <c r="G210" s="528" t="s">
        <v>1616</v>
      </c>
      <c r="H210" s="521" t="s">
        <v>1617</v>
      </c>
      <c r="I210" s="521" t="s">
        <v>1618</v>
      </c>
    </row>
    <row r="211" customFormat="false" ht="15.75" hidden="false" customHeight="true" outlineLevel="0" collapsed="false">
      <c r="D211" s="524" t="str">
        <f aca="false">HLOOKUP($C$1,$E$1:$V$4910,ROW(D211))</f>
        <v> (not relevant for STs)</v>
      </c>
      <c r="E211" s="521" t="s">
        <v>1619</v>
      </c>
      <c r="F211" s="521" t="s">
        <v>1620</v>
      </c>
      <c r="G211" s="528" t="s">
        <v>1621</v>
      </c>
      <c r="H211" s="521" t="s">
        <v>1622</v>
      </c>
      <c r="I211" s="521" t="s">
        <v>1623</v>
      </c>
    </row>
    <row r="212" customFormat="false" ht="15.75" hidden="false" customHeight="true" outlineLevel="0" collapsed="false">
      <c r="D212" s="524" t="str">
        <f aca="false">HLOOKUP($C$1,$E$1:$V$4910,ROW(D212))</f>
        <v>Note: This is not a certificate.</v>
      </c>
      <c r="E212" s="521" t="s">
        <v>1624</v>
      </c>
      <c r="F212" s="521" t="s">
        <v>1625</v>
      </c>
      <c r="G212" s="528" t="s">
        <v>1626</v>
      </c>
      <c r="H212" s="521" t="s">
        <v>1627</v>
      </c>
      <c r="I212" s="521" t="s">
        <v>1628</v>
      </c>
    </row>
    <row r="213" customFormat="false" ht="15.75" hidden="false" customHeight="true" outlineLevel="0" collapsed="false">
      <c r="D213" s="524" t="str">
        <f aca="false">HLOOKUP($C$1,$E$1:$V$4910,ROW(D213))</f>
        <v>COMMON GOOD MATRIX</v>
      </c>
      <c r="E213" s="521" t="s">
        <v>1629</v>
      </c>
      <c r="F213" s="521" t="s">
        <v>1630</v>
      </c>
      <c r="G213" s="528" t="s">
        <v>1631</v>
      </c>
      <c r="H213" s="521" t="s">
        <v>1632</v>
      </c>
      <c r="I213" s="521" t="s">
        <v>1633</v>
      </c>
    </row>
    <row r="214" customFormat="false" ht="15.75" hidden="false" customHeight="true" outlineLevel="0" collapsed="false">
      <c r="D214" s="524" t="str">
        <f aca="false">HLOOKUP($C$1,$E$1:$V$4910,ROW(D214))</f>
        <v>of</v>
      </c>
      <c r="E214" s="521" t="s">
        <v>1634</v>
      </c>
      <c r="F214" s="521" t="s">
        <v>1635</v>
      </c>
      <c r="G214" s="528" t="s">
        <v>1636</v>
      </c>
      <c r="H214" s="521" t="s">
        <v>1637</v>
      </c>
      <c r="I214" s="521" t="s">
        <v>1637</v>
      </c>
    </row>
    <row r="215" customFormat="false" ht="15.75" hidden="false" customHeight="true" outlineLevel="0" collapsed="false">
      <c r="D215" s="524" t="str">
        <f aca="false">HLOOKUP($C$1,$E$1:$V$4910,ROW(D215))</f>
        <v> points</v>
      </c>
      <c r="E215" s="521" t="s">
        <v>1638</v>
      </c>
      <c r="F215" s="521" t="s">
        <v>1639</v>
      </c>
      <c r="G215" s="528" t="s">
        <v>1640</v>
      </c>
      <c r="H215" s="521" t="s">
        <v>1641</v>
      </c>
      <c r="I215" s="521" t="s">
        <v>1642</v>
      </c>
    </row>
    <row r="216" customFormat="false" ht="15.75" hidden="false" customHeight="true" outlineLevel="0" collapsed="false">
      <c r="D216" s="524" t="str">
        <f aca="false">HLOOKUP($C$1,$E$1:$V$4910,ROW(D216))</f>
        <v>Human dignity</v>
      </c>
      <c r="E216" s="521" t="s">
        <v>1643</v>
      </c>
      <c r="F216" s="521" t="s">
        <v>1644</v>
      </c>
      <c r="G216" s="528" t="s">
        <v>1645</v>
      </c>
      <c r="H216" s="521" t="s">
        <v>1646</v>
      </c>
      <c r="I216" s="521" t="s">
        <v>1647</v>
      </c>
    </row>
    <row r="217" customFormat="false" ht="15.75" hidden="false" customHeight="true" outlineLevel="0" collapsed="false">
      <c r="D217" s="524" t="str">
        <f aca="false">HLOOKUP($C$1,$E$1:$V$4910,ROW(D217))</f>
        <v>Solidarity &amp; social justice</v>
      </c>
      <c r="E217" s="521" t="s">
        <v>1648</v>
      </c>
      <c r="F217" s="521" t="s">
        <v>1649</v>
      </c>
      <c r="G217" s="528" t="s">
        <v>1650</v>
      </c>
      <c r="H217" s="521" t="s">
        <v>1651</v>
      </c>
      <c r="I217" s="521" t="s">
        <v>1652</v>
      </c>
    </row>
    <row r="218" customFormat="false" ht="15.75" hidden="false" customHeight="true" outlineLevel="0" collapsed="false">
      <c r="D218" s="524" t="str">
        <f aca="false">HLOOKUP($C$1,$E$1:$V$4910,ROW(D218))</f>
        <v>Environmental sustainability</v>
      </c>
      <c r="E218" s="521" t="s">
        <v>1653</v>
      </c>
      <c r="F218" s="521" t="s">
        <v>1654</v>
      </c>
      <c r="G218" s="528" t="s">
        <v>1655</v>
      </c>
      <c r="H218" s="521" t="s">
        <v>1656</v>
      </c>
      <c r="I218" s="521" t="s">
        <v>1657</v>
      </c>
    </row>
    <row r="219" customFormat="false" ht="15.75" hidden="false" customHeight="true" outlineLevel="0" collapsed="false">
      <c r="D219" s="524" t="str">
        <f aca="false">HLOOKUP($C$1,$E$1:$V$4910,ROW(D219))</f>
        <v>Transparency &amp; co-determination</v>
      </c>
      <c r="E219" s="521" t="s">
        <v>1658</v>
      </c>
      <c r="F219" s="521" t="s">
        <v>1659</v>
      </c>
      <c r="G219" s="528" t="s">
        <v>1660</v>
      </c>
      <c r="H219" s="521" t="s">
        <v>1661</v>
      </c>
      <c r="I219" s="521" t="s">
        <v>1662</v>
      </c>
    </row>
    <row r="220" customFormat="false" ht="15.75" hidden="false" customHeight="true" outlineLevel="0" collapsed="false">
      <c r="D220" s="524" t="str">
        <f aca="false">HLOOKUP($C$1,$E$1:$V$4910,ROW(D220))</f>
        <v>Common Good Star for</v>
      </c>
      <c r="E220" s="521" t="s">
        <v>1663</v>
      </c>
      <c r="F220" s="521" t="s">
        <v>1664</v>
      </c>
      <c r="G220" s="528" t="s">
        <v>1665</v>
      </c>
      <c r="H220" s="521" t="s">
        <v>1666</v>
      </c>
      <c r="I220" s="521" t="s">
        <v>1667</v>
      </c>
    </row>
    <row r="221" customFormat="false" ht="15.75" hidden="false" customHeight="true" outlineLevel="0" collapsed="false">
      <c r="D221" s="524" t="str">
        <f aca="false">HLOOKUP($C$1,$E$1:$V$4910,ROW(D221))</f>
        <v>BALANCE OVERVIEW</v>
      </c>
      <c r="E221" s="521" t="s">
        <v>1668</v>
      </c>
      <c r="F221" s="521" t="s">
        <v>1669</v>
      </c>
      <c r="G221" s="528" t="s">
        <v>1670</v>
      </c>
      <c r="H221" s="521" t="s">
        <v>1671</v>
      </c>
      <c r="I221" s="521" t="s">
        <v>1672</v>
      </c>
    </row>
    <row r="222" customFormat="false" ht="15.75" hidden="false" customHeight="true" outlineLevel="0" collapsed="false">
      <c r="D222" s="524" t="str">
        <f aca="false">HLOOKUP($C$1,$E$1:$V$4910,ROW(D222))</f>
        <v>TRANSPARENCY &amp; CO-DETERMINATION</v>
      </c>
      <c r="E222" s="521" t="s">
        <v>1673</v>
      </c>
      <c r="F222" s="521" t="s">
        <v>1674</v>
      </c>
      <c r="G222" s="528" t="s">
        <v>1675</v>
      </c>
      <c r="H222" s="521" t="s">
        <v>1676</v>
      </c>
      <c r="I222" s="521" t="s">
        <v>1677</v>
      </c>
    </row>
    <row r="223" customFormat="false" ht="15.75" hidden="false" customHeight="true" outlineLevel="0" collapsed="false">
      <c r="D223" s="524" t="str">
        <f aca="false">HLOOKUP($C$1,$E$1:$V$4910,ROW(D223))</f>
        <v>HUMAN DIGNITY</v>
      </c>
      <c r="E223" s="521" t="s">
        <v>1678</v>
      </c>
      <c r="F223" s="521" t="s">
        <v>1679</v>
      </c>
      <c r="G223" s="528" t="s">
        <v>1680</v>
      </c>
      <c r="H223" s="521" t="s">
        <v>1681</v>
      </c>
      <c r="I223" s="521" t="s">
        <v>1682</v>
      </c>
    </row>
    <row r="224" customFormat="false" ht="15.75" hidden="false" customHeight="true" outlineLevel="0" collapsed="false">
      <c r="D224" s="524" t="str">
        <f aca="false">HLOOKUP($C$1,$E$1:$V$4910,ROW(D224))</f>
        <v>SOLIDARITY</v>
      </c>
      <c r="E224" s="521" t="s">
        <v>1683</v>
      </c>
      <c r="F224" s="521" t="s">
        <v>1684</v>
      </c>
      <c r="G224" s="528" t="s">
        <v>1685</v>
      </c>
      <c r="H224" s="521" t="s">
        <v>1686</v>
      </c>
      <c r="I224" s="521" t="s">
        <v>1687</v>
      </c>
    </row>
    <row r="225" customFormat="false" ht="15.75" hidden="false" customHeight="true" outlineLevel="0" collapsed="false">
      <c r="D225" s="524" t="str">
        <f aca="false">HLOOKUP($C$1,$E$1:$V$4910,ROW(D225))</f>
        <v>ENVIRONMENTAL SUSTAINABILITY</v>
      </c>
      <c r="E225" s="521" t="s">
        <v>1688</v>
      </c>
      <c r="F225" s="521" t="s">
        <v>1689</v>
      </c>
      <c r="G225" s="528" t="s">
        <v>1690</v>
      </c>
      <c r="H225" s="521" t="s">
        <v>1691</v>
      </c>
      <c r="I225" s="521" t="s">
        <v>1692</v>
      </c>
    </row>
    <row r="226" customFormat="false" ht="15.75" hidden="false" customHeight="true" outlineLevel="0" collapsed="false">
      <c r="D226" s="524" t="str">
        <f aca="false">HLOOKUP($C$1,$E$1:$V$4910,ROW(D226))</f>
        <v>SOCIAL JUSTICE</v>
      </c>
      <c r="E226" s="521" t="s">
        <v>1693</v>
      </c>
      <c r="F226" s="521" t="s">
        <v>1694</v>
      </c>
      <c r="G226" s="528" t="s">
        <v>1695</v>
      </c>
      <c r="H226" s="521" t="s">
        <v>1696</v>
      </c>
      <c r="I226" s="521" t="s">
        <v>1697</v>
      </c>
    </row>
    <row r="227" customFormat="false" ht="15.75" hidden="false" customHeight="true" outlineLevel="0" collapsed="false">
      <c r="D227" s="524" t="str">
        <f aca="false">HLOOKUP($C$1,$E$1:$V$4910,ROW(D227))</f>
        <v>TRANSPARENCY &amp; CO-DETERMINATION</v>
      </c>
      <c r="E227" s="521" t="s">
        <v>1673</v>
      </c>
      <c r="F227" s="521" t="s">
        <v>1674</v>
      </c>
      <c r="G227" s="528" t="s">
        <v>1675</v>
      </c>
      <c r="H227" s="521" t="s">
        <v>1676</v>
      </c>
      <c r="I227" s="521" t="s">
        <v>1677</v>
      </c>
    </row>
    <row r="228" customFormat="false" ht="15.75" hidden="false" customHeight="true" outlineLevel="0" collapsed="false">
      <c r="D228" s="524" t="str">
        <f aca="false">HLOOKUP($C$1,$E$1:$V$4910,ROW(D228))</f>
        <v>TOTAL</v>
      </c>
      <c r="E228" s="521" t="s">
        <v>1698</v>
      </c>
      <c r="F228" s="521" t="s">
        <v>1699</v>
      </c>
      <c r="G228" s="528" t="s">
        <v>1700</v>
      </c>
      <c r="H228" s="521" t="s">
        <v>1700</v>
      </c>
      <c r="I228" s="521" t="s">
        <v>1700</v>
      </c>
    </row>
    <row r="229" customFormat="false" ht="15.75" hidden="false" customHeight="true" outlineLevel="0" collapsed="false">
      <c r="D229" s="524" t="str">
        <f aca="false">HLOOKUP($C$1,$E$1:$V$4910,ROW(D229))</f>
        <v>(scaled for STs)</v>
      </c>
      <c r="E229" s="521" t="s">
        <v>1701</v>
      </c>
      <c r="F229" s="521" t="s">
        <v>1702</v>
      </c>
      <c r="G229" s="528" t="s">
        <v>1703</v>
      </c>
      <c r="H229" s="521" t="s">
        <v>1617</v>
      </c>
      <c r="I229" s="521" t="s">
        <v>1618</v>
      </c>
    </row>
    <row r="230" customFormat="false" ht="15.75" hidden="false" customHeight="true" outlineLevel="0" collapsed="false">
      <c r="D230" s="524" t="str">
        <f aca="false">HLOOKUP($C$1,$E$1:$V$4910,ROW(D230))</f>
        <v>Documentation of assessment</v>
      </c>
      <c r="E230" s="521" t="s">
        <v>1704</v>
      </c>
      <c r="F230" s="521" t="s">
        <v>1705</v>
      </c>
      <c r="G230" s="528" t="s">
        <v>1706</v>
      </c>
      <c r="H230" s="521" t="s">
        <v>1707</v>
      </c>
      <c r="I230" s="521" t="s">
        <v>1708</v>
      </c>
    </row>
    <row r="231" customFormat="false" ht="15.75" hidden="false" customHeight="true" outlineLevel="0" collapsed="false">
      <c r="D231" s="524" t="str">
        <f aca="false">HLOOKUP($C$1,$E$1:$V$4910,ROW(D231))</f>
        <v>Self-assessment</v>
      </c>
      <c r="E231" s="521" t="s">
        <v>1709</v>
      </c>
      <c r="F231" s="521" t="s">
        <v>1710</v>
      </c>
      <c r="G231" s="528" t="s">
        <v>1711</v>
      </c>
      <c r="H231" s="521" t="s">
        <v>1712</v>
      </c>
      <c r="I231" s="521" t="s">
        <v>1713</v>
      </c>
    </row>
    <row r="232" customFormat="false" ht="15.75" hidden="false" customHeight="true" outlineLevel="0" collapsed="false">
      <c r="D232" s="524" t="str">
        <f aca="false">HLOOKUP($C$1,$E$1:$V$4910,ROW(D232))</f>
        <v>Peer-assessment</v>
      </c>
      <c r="E232" s="548" t="s">
        <v>1714</v>
      </c>
      <c r="F232" s="548" t="s">
        <v>1715</v>
      </c>
      <c r="G232" s="549" t="s">
        <v>1716</v>
      </c>
      <c r="H232" s="521" t="s">
        <v>1717</v>
      </c>
      <c r="I232" s="521" t="s">
        <v>1718</v>
      </c>
    </row>
    <row r="233" customFormat="false" ht="15.75" hidden="false" customHeight="true" outlineLevel="0" collapsed="false">
      <c r="D233" s="524" t="str">
        <f aca="false">HLOOKUP($C$1,$E$1:$V$4910,ROW(D233))</f>
        <v>Provisional audit assessment</v>
      </c>
      <c r="E233" s="548" t="s">
        <v>1719</v>
      </c>
      <c r="F233" s="548" t="s">
        <v>1720</v>
      </c>
      <c r="G233" s="549" t="s">
        <v>1721</v>
      </c>
      <c r="H233" s="521" t="s">
        <v>1722</v>
      </c>
      <c r="I233" s="521" t="s">
        <v>1723</v>
      </c>
    </row>
    <row r="234" customFormat="false" ht="15.75" hidden="false" customHeight="true" outlineLevel="0" collapsed="false">
      <c r="D234" s="524" t="str">
        <f aca="false">HLOOKUP($C$1,$E$1:$V$4910,ROW(D234))</f>
        <v>Agreed audit assessment</v>
      </c>
      <c r="E234" s="548" t="s">
        <v>1724</v>
      </c>
      <c r="F234" s="548" t="s">
        <v>1725</v>
      </c>
      <c r="G234" s="549" t="s">
        <v>1726</v>
      </c>
      <c r="H234" s="521" t="s">
        <v>1727</v>
      </c>
      <c r="I234" s="521" t="s">
        <v>1728</v>
      </c>
    </row>
    <row r="235" customFormat="false" ht="15.75" hidden="false" customHeight="true" outlineLevel="0" collapsed="false">
      <c r="D235" s="524" t="str">
        <f aca="false">HLOOKUP($C$1,$E$1:$V$4910,ROW(D235))</f>
        <v>Password for EXCEL sheet protection "ebc"</v>
      </c>
      <c r="E235" s="521" t="s">
        <v>1729</v>
      </c>
      <c r="F235" s="521" t="s">
        <v>1730</v>
      </c>
      <c r="G235" s="528" t="s">
        <v>1731</v>
      </c>
      <c r="H235" s="521" t="s">
        <v>1732</v>
      </c>
      <c r="I235" s="521" t="s">
        <v>1733</v>
      </c>
    </row>
    <row r="236" customFormat="false" ht="15.75" hidden="false" customHeight="true" outlineLevel="0" collapsed="false">
      <c r="C236" s="520" t="n">
        <v>3</v>
      </c>
      <c r="D236" s="524" t="str">
        <f aca="false">HLOOKUP($C$1,$E$1:$V$4910,ROW(D236))</f>
        <v>high</v>
      </c>
      <c r="E236" s="521" t="s">
        <v>173</v>
      </c>
      <c r="F236" s="521" t="s">
        <v>1104</v>
      </c>
      <c r="G236" s="528" t="s">
        <v>1105</v>
      </c>
      <c r="H236" s="521" t="s">
        <v>1734</v>
      </c>
      <c r="I236" s="521" t="s">
        <v>1107</v>
      </c>
    </row>
    <row r="237" customFormat="false" ht="15.75" hidden="false" customHeight="true" outlineLevel="0" collapsed="false">
      <c r="C237" s="520" t="n">
        <v>2</v>
      </c>
      <c r="D237" s="524" t="str">
        <f aca="false">HLOOKUP($C$1,$E$1:$V$4910,ROW(D237))</f>
        <v>medium</v>
      </c>
      <c r="E237" s="521" t="s">
        <v>172</v>
      </c>
      <c r="F237" s="521" t="s">
        <v>1108</v>
      </c>
      <c r="G237" s="528" t="s">
        <v>1109</v>
      </c>
      <c r="H237" s="521" t="s">
        <v>1735</v>
      </c>
      <c r="I237" s="521" t="s">
        <v>1111</v>
      </c>
    </row>
    <row r="238" customFormat="false" ht="15.75" hidden="false" customHeight="true" outlineLevel="0" collapsed="false">
      <c r="C238" s="520" t="n">
        <v>1</v>
      </c>
      <c r="D238" s="524" t="str">
        <f aca="false">HLOOKUP($C$1,$E$1:$V$4910,ROW(D238))</f>
        <v>low</v>
      </c>
      <c r="E238" s="521" t="s">
        <v>171</v>
      </c>
      <c r="F238" s="521" t="s">
        <v>1112</v>
      </c>
      <c r="G238" s="528" t="s">
        <v>1113</v>
      </c>
      <c r="H238" s="521" t="s">
        <v>1736</v>
      </c>
      <c r="I238" s="521" t="s">
        <v>1115</v>
      </c>
    </row>
    <row r="239" customFormat="false" ht="15.75" hidden="false" customHeight="true" outlineLevel="0" collapsed="false">
      <c r="C239" s="520" t="n">
        <v>0</v>
      </c>
      <c r="D239" s="524" t="str">
        <f aca="false">HLOOKUP($C$1,$E$1:$V$4910,ROW(D239))</f>
        <v>non applicable</v>
      </c>
      <c r="E239" s="521" t="s">
        <v>170</v>
      </c>
      <c r="F239" s="521" t="s">
        <v>1737</v>
      </c>
      <c r="G239" s="528" t="s">
        <v>1738</v>
      </c>
      <c r="H239" s="521" t="s">
        <v>1739</v>
      </c>
      <c r="I239" s="521" t="s">
        <v>1119</v>
      </c>
    </row>
    <row r="240" customFormat="false" ht="15.75" hidden="false" customHeight="true" outlineLevel="0" collapsed="false">
      <c r="D240" s="524" t="str">
        <f aca="false">HLOOKUP($C$1,$E$1:$V$4910,ROW(D240))</f>
        <v>Weighting changed. Original </v>
      </c>
      <c r="E240" s="521" t="s">
        <v>1740</v>
      </c>
      <c r="F240" s="521" t="s">
        <v>1741</v>
      </c>
      <c r="G240" s="528" t="s">
        <v>1742</v>
      </c>
      <c r="H240" s="521" t="s">
        <v>1743</v>
      </c>
      <c r="I240" s="521" t="s">
        <v>1744</v>
      </c>
    </row>
    <row r="241" customFormat="false" ht="15.75" hidden="false" customHeight="true" outlineLevel="0" collapsed="false">
      <c r="D241" s="524" t="str">
        <f aca="false">HLOOKUP($C$1,$E$1:$V$4910,ROW(D241))</f>
        <v>Values star for </v>
      </c>
      <c r="E241" s="521" t="s">
        <v>1745</v>
      </c>
      <c r="F241" s="521" t="s">
        <v>1746</v>
      </c>
      <c r="G241" s="521" t="s">
        <v>1747</v>
      </c>
      <c r="H241" s="521" t="s">
        <v>1748</v>
      </c>
      <c r="I241" s="521" t="s">
        <v>1749</v>
      </c>
    </row>
    <row r="242" customFormat="false" ht="15.75" hidden="false" customHeight="true" outlineLevel="0" collapsed="false">
      <c r="D242" s="524" t="str">
        <f aca="false">HLOOKUP($C$1,$E$1:$V$4910,ROW(D242))</f>
        <v>Group star for </v>
      </c>
      <c r="E242" s="521" t="s">
        <v>1750</v>
      </c>
      <c r="F242" s="521" t="s">
        <v>1751</v>
      </c>
      <c r="G242" s="521" t="s">
        <v>1752</v>
      </c>
      <c r="H242" s="521" t="s">
        <v>1753</v>
      </c>
      <c r="I242" s="521" t="s">
        <v>1754</v>
      </c>
    </row>
    <row r="243" customFormat="false" ht="15.75" hidden="false" customHeight="true" outlineLevel="0" collapsed="false">
      <c r="D243" s="524" t="str">
        <f aca="false">HLOOKUP($C$1,$E$1:$V$4910,ROW(D243))</f>
        <v>Theme star for </v>
      </c>
      <c r="E243" s="521" t="s">
        <v>1755</v>
      </c>
      <c r="F243" s="521" t="s">
        <v>1756</v>
      </c>
      <c r="G243" s="521" t="s">
        <v>1757</v>
      </c>
      <c r="H243" s="521" t="s">
        <v>1758</v>
      </c>
      <c r="I243" s="521" t="s">
        <v>1759</v>
      </c>
    </row>
    <row r="244" customFormat="false" ht="357" hidden="false" customHeight="true" outlineLevel="0" collapsed="false">
      <c r="B244" s="367" t="str">
        <f aca="false">D208</f>
        <v>General</v>
      </c>
      <c r="D244" s="524" t="str">
        <f aca="false">HLOOKUP($C$1,$E$1:$V$4910,ROW(D244))</f>
        <v>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 </v>
      </c>
      <c r="E244" s="550" t="s">
        <v>1760</v>
      </c>
      <c r="F244" s="521" t="s">
        <v>1761</v>
      </c>
      <c r="G244" s="528" t="s">
        <v>1762</v>
      </c>
      <c r="H244" s="521" t="s">
        <v>1763</v>
      </c>
      <c r="I244" s="521" t="s">
        <v>1764</v>
      </c>
    </row>
    <row r="245" customFormat="false" ht="227.25" hidden="false" customHeight="true" outlineLevel="0" collapsed="false">
      <c r="B245" s="367" t="s">
        <v>1601</v>
      </c>
      <c r="D245" s="524" t="str">
        <f aca="false">HLOOKUP($C$1,$E$1:$V$4910,ROW(D245))</f>
        <v>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v>
      </c>
      <c r="E245" s="550" t="s">
        <v>1765</v>
      </c>
      <c r="F245" s="521" t="s">
        <v>1766</v>
      </c>
      <c r="G245" s="528" t="s">
        <v>1767</v>
      </c>
      <c r="H245" s="521" t="s">
        <v>1768</v>
      </c>
      <c r="I245" s="521" t="s">
        <v>1769</v>
      </c>
    </row>
    <row r="246" customFormat="false" ht="161.25" hidden="false" customHeight="true" outlineLevel="0" collapsed="false">
      <c r="B246" s="369" t="s">
        <v>1591</v>
      </c>
      <c r="D246" s="524" t="str">
        <f aca="false">HLOOKUP($C$1,$E$1:$V$4910,ROW(D246))</f>
        <v>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v>
      </c>
      <c r="E246" s="551" t="s">
        <v>1770</v>
      </c>
      <c r="F246" s="521" t="s">
        <v>1771</v>
      </c>
      <c r="G246" s="528" t="s">
        <v>1772</v>
      </c>
      <c r="H246" s="521" t="s">
        <v>1773</v>
      </c>
      <c r="I246" s="521" t="s">
        <v>1774</v>
      </c>
    </row>
    <row r="247" customFormat="false" ht="28.5" hidden="false" customHeight="true" outlineLevel="0" collapsed="false">
      <c r="B247" s="371" t="s">
        <v>39</v>
      </c>
      <c r="D247" s="524" t="str">
        <f aca="false">HLOOKUP($C$1,$E$1:$V$4910,ROW(D247))</f>
        <v>The weighting of this theme is dependent on the social risks of the supplier's sector.</v>
      </c>
      <c r="E247" s="552" t="s">
        <v>1775</v>
      </c>
      <c r="F247" s="521" t="s">
        <v>1776</v>
      </c>
      <c r="G247" s="528" t="s">
        <v>1777</v>
      </c>
      <c r="H247" s="521" t="s">
        <v>1778</v>
      </c>
      <c r="I247" s="521" t="s">
        <v>1779</v>
      </c>
    </row>
    <row r="248" customFormat="false" ht="15.75" hidden="false" customHeight="true" outlineLevel="0" collapsed="false">
      <c r="B248" s="372" t="s">
        <v>42</v>
      </c>
      <c r="D248" s="524" t="str">
        <f aca="false">HLOOKUP($C$1,$E$1:$V$4910,ROW(D248))</f>
        <v>-</v>
      </c>
      <c r="E248" s="553" t="s">
        <v>177</v>
      </c>
      <c r="F248" s="554" t="s">
        <v>177</v>
      </c>
      <c r="G248" s="554" t="s">
        <v>177</v>
      </c>
      <c r="H248" s="521" t="s">
        <v>177</v>
      </c>
      <c r="I248" s="521"/>
    </row>
    <row r="249" customFormat="false" ht="54.75" hidden="false" customHeight="true" outlineLevel="0" collapsed="false">
      <c r="B249" s="373" t="s">
        <v>46</v>
      </c>
      <c r="D249" s="524" t="str">
        <f aca="false">HLOOKUP($C$1,$E$1:$V$4910,ROW(D249))</f>
        <v>The weighting of this theme is dependent on the environmental effect of the supplier's sector (see sheet “Industry").</v>
      </c>
      <c r="E249" s="553" t="s">
        <v>1780</v>
      </c>
      <c r="F249" s="521" t="s">
        <v>1781</v>
      </c>
      <c r="G249" s="528" t="s">
        <v>1782</v>
      </c>
      <c r="H249" s="521" t="s">
        <v>1783</v>
      </c>
      <c r="I249" s="521" t="s">
        <v>1784</v>
      </c>
    </row>
    <row r="250" customFormat="false" ht="68.25" hidden="false" customHeight="true" outlineLevel="0" collapsed="false">
      <c r="B250" s="373" t="s">
        <v>49</v>
      </c>
      <c r="D250" s="524" t="str">
        <f aca="false">HLOOKUP($C$1,$E$1:$V$4910,ROW(D250))</f>
        <v>The weighting of this theme is dependent on co-determination rights in the countries of the most important supply industries (based on the ILUC index of the International Labour Union).</v>
      </c>
      <c r="E250" s="555" t="s">
        <v>1785</v>
      </c>
      <c r="F250" s="521" t="s">
        <v>1786</v>
      </c>
      <c r="G250" s="528" t="s">
        <v>1787</v>
      </c>
      <c r="H250" s="521" t="s">
        <v>1788</v>
      </c>
      <c r="I250" s="521" t="s">
        <v>1789</v>
      </c>
    </row>
    <row r="251" customFormat="false" ht="28.5" hidden="false" customHeight="true" outlineLevel="0" collapsed="false">
      <c r="B251" s="373" t="s">
        <v>53</v>
      </c>
      <c r="D251" s="524" t="str">
        <f aca="false">HLOOKUP($C$1,$E$1:$V$4910,ROW(D251))</f>
        <v>The weighting of this theme depends on the ratio turnover to the balance sheet total.</v>
      </c>
      <c r="E251" s="553" t="s">
        <v>1790</v>
      </c>
      <c r="F251" s="521" t="s">
        <v>1791</v>
      </c>
      <c r="G251" s="528" t="s">
        <v>1792</v>
      </c>
      <c r="H251" s="521" t="s">
        <v>1793</v>
      </c>
      <c r="I251" s="521" t="s">
        <v>1794</v>
      </c>
    </row>
    <row r="252" customFormat="false" ht="42.75" hidden="false" customHeight="true" outlineLevel="0" collapsed="false">
      <c r="B252" s="373" t="s">
        <v>57</v>
      </c>
      <c r="D252" s="524" t="str">
        <f aca="false">HLOOKUP($C$1,$E$1:$V$4910,ROW(D252))</f>
        <v>The weighting of this theme depends on the ratio profit to turnover</v>
      </c>
      <c r="E252" s="553" t="s">
        <v>1795</v>
      </c>
      <c r="F252" s="521" t="s">
        <v>1796</v>
      </c>
      <c r="G252" s="528" t="s">
        <v>1797</v>
      </c>
      <c r="H252" s="521" t="s">
        <v>1798</v>
      </c>
      <c r="I252" s="521" t="s">
        <v>1799</v>
      </c>
    </row>
    <row r="253" customFormat="false" ht="51" hidden="false" customHeight="true" outlineLevel="0" collapsed="false">
      <c r="B253" s="373" t="s">
        <v>60</v>
      </c>
      <c r="D253" s="524" t="str">
        <f aca="false">HLOOKUP($C$1,$E$1:$V$4910,ROW(D253))</f>
        <v>The weighting of this theme is dependent on additions to fixed-assets and financial assets in relation to the balance sheet total.</v>
      </c>
      <c r="E253" s="553" t="s">
        <v>1800</v>
      </c>
      <c r="F253" s="521" t="s">
        <v>1801</v>
      </c>
      <c r="G253" s="528" t="s">
        <v>1802</v>
      </c>
      <c r="H253" s="521" t="s">
        <v>1803</v>
      </c>
      <c r="I253" s="521" t="s">
        <v>1804</v>
      </c>
    </row>
    <row r="254" customFormat="false" ht="28.5" hidden="false" customHeight="true" outlineLevel="0" collapsed="false">
      <c r="B254" s="373" t="s">
        <v>64</v>
      </c>
      <c r="D254" s="524" t="str">
        <f aca="false">HLOOKUP($C$1,$E$1:$V$4910,ROW(D254))</f>
        <v>The weighting of this theme is dependent on the size of the company.</v>
      </c>
      <c r="E254" s="553" t="s">
        <v>1805</v>
      </c>
      <c r="F254" s="521" t="s">
        <v>1806</v>
      </c>
      <c r="G254" s="528" t="s">
        <v>1807</v>
      </c>
      <c r="H254" s="521" t="s">
        <v>1808</v>
      </c>
      <c r="I254" s="521" t="s">
        <v>1809</v>
      </c>
    </row>
    <row r="255" customFormat="false" ht="15.75" hidden="false" customHeight="true" outlineLevel="0" collapsed="false">
      <c r="B255" s="373" t="s">
        <v>68</v>
      </c>
      <c r="D255" s="524" t="str">
        <f aca="false">HLOOKUP($C$1,$E$1:$V$4910,ROW(D255))</f>
        <v>-</v>
      </c>
      <c r="E255" s="556" t="s">
        <v>177</v>
      </c>
      <c r="F255" s="557" t="s">
        <v>177</v>
      </c>
      <c r="G255" s="557" t="s">
        <v>177</v>
      </c>
      <c r="H255" s="521" t="s">
        <v>177</v>
      </c>
      <c r="I255" s="521"/>
    </row>
    <row r="256" customFormat="false" ht="15.75" hidden="false" customHeight="true" outlineLevel="0" collapsed="false">
      <c r="B256" s="373" t="s">
        <v>73</v>
      </c>
      <c r="D256" s="524" t="str">
        <f aca="false">HLOOKUP($C$1,$E$1:$V$4910,ROW(D256))</f>
        <v>-</v>
      </c>
      <c r="E256" s="553" t="s">
        <v>177</v>
      </c>
      <c r="F256" s="554" t="s">
        <v>177</v>
      </c>
      <c r="G256" s="554" t="s">
        <v>177</v>
      </c>
      <c r="H256" s="521" t="s">
        <v>177</v>
      </c>
      <c r="I256" s="521"/>
    </row>
    <row r="257" customFormat="false" ht="54.75" hidden="false" customHeight="true" outlineLevel="0" collapsed="false">
      <c r="B257" s="373" t="s">
        <v>78</v>
      </c>
      <c r="D257" s="524" t="str">
        <f aca="false">HLOOKUP($C$1,$E$1:$V$4910,ROW(D257))</f>
        <v>The weighting of this theme is dependent on the existence of a canteen for most of the employees as well as an (estimated) average commute to work. </v>
      </c>
      <c r="E257" s="553" t="s">
        <v>1810</v>
      </c>
      <c r="F257" s="521" t="s">
        <v>1811</v>
      </c>
      <c r="G257" s="528" t="s">
        <v>1812</v>
      </c>
      <c r="H257" s="521" t="s">
        <v>1813</v>
      </c>
      <c r="I257" s="521" t="s">
        <v>1814</v>
      </c>
    </row>
    <row r="258" customFormat="false" ht="81" hidden="false" customHeight="true" outlineLevel="0" collapsed="false">
      <c r="B258" s="373" t="s">
        <v>83</v>
      </c>
      <c r="D258" s="524" t="str">
        <f aca="false">HLOOKUP($C$1,$E$1:$V$4910,ROW(D258))</f>
        <v>The weighting of this theme is dependent on company size and co-determination rights in the countries of the most important supply industries (based on the ILUC index of the International Labour Union).</v>
      </c>
      <c r="E258" s="555" t="s">
        <v>1815</v>
      </c>
      <c r="F258" s="521" t="s">
        <v>1816</v>
      </c>
      <c r="G258" s="528" t="s">
        <v>1817</v>
      </c>
      <c r="H258" s="521" t="s">
        <v>1818</v>
      </c>
      <c r="I258" s="521" t="s">
        <v>1819</v>
      </c>
    </row>
    <row r="259" customFormat="false" ht="15.75" hidden="false" customHeight="true" outlineLevel="0" collapsed="false">
      <c r="B259" s="373" t="s">
        <v>89</v>
      </c>
      <c r="D259" s="524" t="str">
        <f aca="false">HLOOKUP($C$1,$E$1:$V$4910,ROW(D259))</f>
        <v>-</v>
      </c>
      <c r="E259" s="553" t="s">
        <v>177</v>
      </c>
      <c r="F259" s="553" t="s">
        <v>177</v>
      </c>
      <c r="G259" s="553" t="s">
        <v>177</v>
      </c>
      <c r="H259" s="521" t="s">
        <v>177</v>
      </c>
      <c r="I259" s="521"/>
    </row>
    <row r="260" customFormat="false" ht="15.75" hidden="false" customHeight="true" outlineLevel="0" collapsed="false">
      <c r="B260" s="373" t="s">
        <v>93</v>
      </c>
      <c r="D260" s="524" t="str">
        <f aca="false">HLOOKUP($C$1,$E$1:$V$4910,ROW(D260))</f>
        <v>-</v>
      </c>
      <c r="E260" s="553" t="s">
        <v>177</v>
      </c>
      <c r="F260" s="554" t="s">
        <v>177</v>
      </c>
      <c r="G260" s="554" t="s">
        <v>177</v>
      </c>
      <c r="H260" s="521" t="s">
        <v>177</v>
      </c>
      <c r="I260" s="521"/>
    </row>
    <row r="261" customFormat="false" ht="28.5" hidden="false" customHeight="true" outlineLevel="0" collapsed="false">
      <c r="B261" s="373" t="s">
        <v>97</v>
      </c>
      <c r="D261" s="524" t="str">
        <f aca="false">HLOOKUP($C$1,$E$1:$V$4910,ROW(D261))</f>
        <v>The weighting of this theme depends on the industry sector.</v>
      </c>
      <c r="E261" s="553" t="s">
        <v>1820</v>
      </c>
      <c r="F261" s="521" t="s">
        <v>1821</v>
      </c>
      <c r="G261" s="528" t="s">
        <v>1822</v>
      </c>
      <c r="H261" s="521" t="s">
        <v>1823</v>
      </c>
      <c r="I261" s="521" t="s">
        <v>1824</v>
      </c>
    </row>
    <row r="262" customFormat="false" ht="41.25" hidden="false" customHeight="true" outlineLevel="0" collapsed="false">
      <c r="B262" s="373" t="s">
        <v>101</v>
      </c>
      <c r="D262" s="524" t="str">
        <f aca="false">HLOOKUP($C$1,$E$1:$V$4910,ROW(D262))</f>
        <v>The weighting of this theme depends on whether customers are primarily individuals or companies.</v>
      </c>
      <c r="E262" s="553" t="s">
        <v>1825</v>
      </c>
      <c r="F262" s="521" t="s">
        <v>1826</v>
      </c>
      <c r="G262" s="528" t="s">
        <v>1827</v>
      </c>
      <c r="H262" s="521" t="s">
        <v>1828</v>
      </c>
      <c r="I262" s="521" t="s">
        <v>1829</v>
      </c>
    </row>
    <row r="263" customFormat="false" ht="15.75" hidden="false" customHeight="true" outlineLevel="0" collapsed="false">
      <c r="B263" s="373" t="s">
        <v>105</v>
      </c>
      <c r="D263" s="524" t="str">
        <f aca="false">HLOOKUP($C$1,$E$1:$V$4910,ROW(D263))</f>
        <v>-</v>
      </c>
      <c r="E263" s="553" t="s">
        <v>177</v>
      </c>
      <c r="F263" s="554" t="s">
        <v>177</v>
      </c>
      <c r="G263" s="554" t="s">
        <v>177</v>
      </c>
      <c r="H263" s="521" t="s">
        <v>177</v>
      </c>
      <c r="I263" s="521"/>
    </row>
    <row r="264" customFormat="false" ht="41.25" hidden="false" customHeight="true" outlineLevel="0" collapsed="false">
      <c r="B264" s="373" t="s">
        <v>109</v>
      </c>
      <c r="D264" s="524" t="str">
        <f aca="false">HLOOKUP($C$1,$E$1:$V$4910,ROW(D264))</f>
        <v>The weighting of this theme is dependent on the return on sales (profit/turnover).</v>
      </c>
      <c r="E264" s="553" t="s">
        <v>1830</v>
      </c>
      <c r="F264" s="521" t="s">
        <v>1831</v>
      </c>
      <c r="G264" s="528" t="s">
        <v>1832</v>
      </c>
      <c r="H264" s="521" t="s">
        <v>1833</v>
      </c>
      <c r="I264" s="521" t="s">
        <v>1834</v>
      </c>
    </row>
    <row r="265" customFormat="false" ht="28.5" hidden="false" customHeight="true" outlineLevel="0" collapsed="false">
      <c r="B265" s="373" t="s">
        <v>114</v>
      </c>
      <c r="D265" s="524" t="str">
        <f aca="false">HLOOKUP($C$1,$E$1:$V$4910,ROW(D265))</f>
        <v>The weighting of this theme depends on the industry sector.</v>
      </c>
      <c r="E265" s="553" t="s">
        <v>1835</v>
      </c>
      <c r="F265" s="521" t="s">
        <v>1821</v>
      </c>
      <c r="G265" s="528" t="s">
        <v>1822</v>
      </c>
      <c r="H265" s="521" t="s">
        <v>1823</v>
      </c>
      <c r="I265" s="521" t="s">
        <v>1824</v>
      </c>
    </row>
    <row r="266" customFormat="false" ht="41.25" hidden="false" customHeight="true" outlineLevel="0" collapsed="false">
      <c r="B266" s="374" t="s">
        <v>118</v>
      </c>
      <c r="D266" s="524" t="str">
        <f aca="false">HLOOKUP($C$1,$E$1:$V$4910,ROW(D266))</f>
        <v>The weighting of this theme depends on the company size and the industry sector.</v>
      </c>
      <c r="E266" s="558" t="s">
        <v>1836</v>
      </c>
      <c r="F266" s="521" t="s">
        <v>1837</v>
      </c>
      <c r="G266" s="528" t="s">
        <v>1838</v>
      </c>
      <c r="H266" s="521" t="s">
        <v>1839</v>
      </c>
      <c r="I266" s="521" t="s">
        <v>1840</v>
      </c>
    </row>
    <row r="267" customFormat="false" ht="15.75" hidden="false" customHeight="true" outlineLevel="0" collapsed="false">
      <c r="D267" s="524" t="n">
        <f aca="false">HLOOKUP($C$1,$E$1:$V$4910,ROW(D267))</f>
        <v>0</v>
      </c>
      <c r="E267" s="521"/>
      <c r="G267" s="521"/>
      <c r="H267" s="521"/>
      <c r="I267" s="521"/>
    </row>
    <row r="268" customFormat="false" ht="28.5" hidden="false" customHeight="true" outlineLevel="0" collapsed="false">
      <c r="D268" s="524" t="str">
        <f aca="false">HLOOKUP($C$1,$E$1:$V$4910,ROW(D268))</f>
        <v>A - agriculture, forestry management, fishing industry</v>
      </c>
      <c r="E268" s="521" t="s">
        <v>17</v>
      </c>
      <c r="F268" s="521" t="s">
        <v>1841</v>
      </c>
      <c r="G268" s="528" t="s">
        <v>1842</v>
      </c>
      <c r="H268" s="521" t="s">
        <v>1843</v>
      </c>
      <c r="I268" s="521" t="s">
        <v>1844</v>
      </c>
    </row>
    <row r="269" customFormat="false" ht="28.5" hidden="false" customHeight="true" outlineLevel="0" collapsed="false">
      <c r="D269" s="524" t="str">
        <f aca="false">HLOOKUP($C$1,$E$1:$V$4910,ROW(D269))</f>
        <v>B - Mining and quarrying</v>
      </c>
      <c r="E269" s="521" t="s">
        <v>1845</v>
      </c>
      <c r="F269" s="521" t="s">
        <v>1846</v>
      </c>
      <c r="G269" s="528" t="s">
        <v>1847</v>
      </c>
      <c r="H269" s="521" t="s">
        <v>1848</v>
      </c>
      <c r="I269" s="521" t="s">
        <v>1849</v>
      </c>
    </row>
    <row r="270" customFormat="false" ht="28.5" hidden="false" customHeight="true" outlineLevel="0" collapsed="false">
      <c r="D270" s="524" t="str">
        <f aca="false">HLOOKUP($C$1,$E$1:$V$4910,ROW(D270))</f>
        <v>C - Manufacturing industries (not further specified)</v>
      </c>
      <c r="E270" s="521" t="s">
        <v>1850</v>
      </c>
      <c r="F270" s="521" t="s">
        <v>1851</v>
      </c>
      <c r="G270" s="528" t="s">
        <v>1852</v>
      </c>
      <c r="H270" s="521" t="s">
        <v>1853</v>
      </c>
      <c r="I270" s="521" t="s">
        <v>1854</v>
      </c>
    </row>
    <row r="271" customFormat="false" ht="28.5" hidden="false" customHeight="true" outlineLevel="0" collapsed="false">
      <c r="D271" s="524" t="str">
        <f aca="false">HLOOKUP($C$1,$E$1:$V$4910,ROW(D271))</f>
        <v>Ca - Food production, drinks and tobacco (C10, C11, C12)</v>
      </c>
      <c r="E271" s="521" t="s">
        <v>1855</v>
      </c>
      <c r="F271" s="521" t="s">
        <v>1856</v>
      </c>
      <c r="G271" s="528" t="s">
        <v>19</v>
      </c>
      <c r="H271" s="521" t="s">
        <v>1857</v>
      </c>
      <c r="I271" s="521" t="s">
        <v>1858</v>
      </c>
    </row>
    <row r="272" customFormat="false" ht="28.5" hidden="false" customHeight="true" outlineLevel="0" collapsed="false">
      <c r="D272" s="524" t="str">
        <f aca="false">HLOOKUP($C$1,$E$1:$V$4910,ROW(D272))</f>
        <v>Cb - Textile production, clothing, leather and leather products (C13, C14, C15)</v>
      </c>
      <c r="E272" s="521" t="s">
        <v>1859</v>
      </c>
      <c r="F272" s="521" t="s">
        <v>1860</v>
      </c>
      <c r="G272" s="528" t="s">
        <v>1861</v>
      </c>
      <c r="H272" s="521" t="s">
        <v>1862</v>
      </c>
      <c r="I272" s="521" t="s">
        <v>1863</v>
      </c>
    </row>
    <row r="273" customFormat="false" ht="41.25" hidden="false" customHeight="true" outlineLevel="0" collapsed="false">
      <c r="D273" s="524" t="str">
        <f aca="false">HLOOKUP($C$1,$E$1:$V$4910,ROW(D273))</f>
        <v>Cc - Paper and forest products, also printed matter (C16, C17, C18)</v>
      </c>
      <c r="E273" s="521" t="s">
        <v>1864</v>
      </c>
      <c r="F273" s="521" t="s">
        <v>1865</v>
      </c>
      <c r="G273" s="528" t="s">
        <v>1866</v>
      </c>
      <c r="H273" s="521" t="s">
        <v>1867</v>
      </c>
      <c r="I273" s="521" t="s">
        <v>1868</v>
      </c>
    </row>
    <row r="274" customFormat="false" ht="41.25" hidden="false" customHeight="true" outlineLevel="0" collapsed="false">
      <c r="D274" s="524" t="str">
        <f aca="false">HLOOKUP($C$1,$E$1:$V$4910,ROW(D274))</f>
        <v>Cd - Production of petrochemical products and plastics (C19, C20;C22)</v>
      </c>
      <c r="E274" s="521" t="s">
        <v>1869</v>
      </c>
      <c r="F274" s="521" t="s">
        <v>1870</v>
      </c>
      <c r="G274" s="528" t="s">
        <v>1871</v>
      </c>
      <c r="H274" s="521" t="s">
        <v>1872</v>
      </c>
      <c r="I274" s="521" t="s">
        <v>1873</v>
      </c>
    </row>
    <row r="275" customFormat="false" ht="28.5" hidden="false" customHeight="true" outlineLevel="0" collapsed="false">
      <c r="D275" s="524" t="str">
        <f aca="false">HLOOKUP($C$1,$E$1:$V$4910,ROW(D275))</f>
        <v>Ce - Pharmaceutical products and preparations (C21)</v>
      </c>
      <c r="E275" s="521" t="s">
        <v>1874</v>
      </c>
      <c r="F275" s="521" t="s">
        <v>1875</v>
      </c>
      <c r="G275" s="528" t="s">
        <v>32</v>
      </c>
      <c r="H275" s="521" t="s">
        <v>1876</v>
      </c>
      <c r="I275" s="521" t="s">
        <v>1877</v>
      </c>
    </row>
    <row r="276" customFormat="false" ht="28.5" hidden="false" customHeight="true" outlineLevel="0" collapsed="false">
      <c r="D276" s="524" t="str">
        <f aca="false">HLOOKUP($C$1,$E$1:$V$4910,ROW(D276))</f>
        <v>Cf - Production of non-metallic minerals (C23)</v>
      </c>
      <c r="E276" s="521" t="s">
        <v>1878</v>
      </c>
      <c r="F276" s="521" t="s">
        <v>1879</v>
      </c>
      <c r="G276" s="528" t="s">
        <v>1880</v>
      </c>
      <c r="H276" s="521" t="s">
        <v>1881</v>
      </c>
      <c r="I276" s="521" t="s">
        <v>1882</v>
      </c>
    </row>
    <row r="277" customFormat="false" ht="54.75" hidden="false" customHeight="true" outlineLevel="0" collapsed="false">
      <c r="D277" s="524" t="str">
        <f aca="false">HLOOKUP($C$1,$E$1:$V$4910,ROW(D277))</f>
        <v>Cg - Production of metal and metallic products (excl. machines and equipment) (C24, C25)</v>
      </c>
      <c r="E277" s="521" t="s">
        <v>1883</v>
      </c>
      <c r="F277" s="521" t="s">
        <v>1884</v>
      </c>
      <c r="G277" s="528" t="s">
        <v>1885</v>
      </c>
      <c r="H277" s="521" t="s">
        <v>1886</v>
      </c>
      <c r="I277" s="521" t="s">
        <v>1887</v>
      </c>
    </row>
    <row r="278" customFormat="false" ht="54.75" hidden="false" customHeight="true" outlineLevel="0" collapsed="false">
      <c r="D278" s="524" t="str">
        <f aca="false">HLOOKUP($C$1,$E$1:$V$4910,ROW(D278))</f>
        <v>Ch - Production of electronic equipment, instruments and components as well as computers (C26, C27, C28)</v>
      </c>
      <c r="E278" s="521" t="s">
        <v>1888</v>
      </c>
      <c r="F278" s="521" t="s">
        <v>1889</v>
      </c>
      <c r="G278" s="528" t="s">
        <v>1890</v>
      </c>
      <c r="H278" s="521" t="s">
        <v>1891</v>
      </c>
      <c r="I278" s="521" t="s">
        <v>1892</v>
      </c>
    </row>
    <row r="279" customFormat="false" ht="28.5" hidden="false" customHeight="true" outlineLevel="0" collapsed="false">
      <c r="D279" s="524" t="str">
        <f aca="false">HLOOKUP($C$1,$E$1:$V$4910,ROW(D279))</f>
        <v>D - Electric, Gas, Steam and Refrigeration</v>
      </c>
      <c r="E279" s="521" t="s">
        <v>1893</v>
      </c>
      <c r="F279" s="521" t="s">
        <v>1894</v>
      </c>
      <c r="G279" s="528" t="s">
        <v>1895</v>
      </c>
      <c r="H279" s="521" t="s">
        <v>1896</v>
      </c>
      <c r="I279" s="521" t="s">
        <v>1897</v>
      </c>
    </row>
    <row r="280" customFormat="false" ht="28.5" hidden="false" customHeight="true" outlineLevel="0" collapsed="false">
      <c r="D280" s="524" t="str">
        <f aca="false">HLOOKUP($C$1,$E$1:$V$4910,ROW(D280))</f>
        <v>E - Water supply, waste management</v>
      </c>
      <c r="E280" s="521" t="s">
        <v>1898</v>
      </c>
      <c r="F280" s="521" t="s">
        <v>1899</v>
      </c>
      <c r="G280" s="528" t="s">
        <v>1900</v>
      </c>
      <c r="H280" s="521" t="s">
        <v>1901</v>
      </c>
      <c r="I280" s="521" t="s">
        <v>1902</v>
      </c>
    </row>
    <row r="281" customFormat="false" ht="15.75" hidden="false" customHeight="true" outlineLevel="0" collapsed="false">
      <c r="D281" s="524" t="str">
        <f aca="false">HLOOKUP($C$1,$E$1:$V$4910,ROW(D281))</f>
        <v>F - Construction industry</v>
      </c>
      <c r="E281" s="521" t="s">
        <v>1903</v>
      </c>
      <c r="F281" s="521" t="s">
        <v>1904</v>
      </c>
      <c r="G281" s="528" t="s">
        <v>1905</v>
      </c>
      <c r="H281" s="521" t="s">
        <v>1906</v>
      </c>
      <c r="I281" s="521" t="s">
        <v>1907</v>
      </c>
    </row>
    <row r="282" customFormat="false" ht="41.25" hidden="false" customHeight="true" outlineLevel="0" collapsed="false">
      <c r="D282" s="524" t="str">
        <f aca="false">HLOOKUP($C$1,$E$1:$V$4910,ROW(D282))</f>
        <v>G - Wholesale and retail</v>
      </c>
      <c r="E282" s="527" t="s">
        <v>1908</v>
      </c>
      <c r="F282" s="521" t="s">
        <v>1909</v>
      </c>
      <c r="G282" s="528" t="s">
        <v>1910</v>
      </c>
      <c r="H282" s="521" t="s">
        <v>1911</v>
      </c>
      <c r="I282" s="521" t="s">
        <v>1912</v>
      </c>
    </row>
    <row r="283" customFormat="false" ht="15.75" hidden="false" customHeight="true" outlineLevel="0" collapsed="false">
      <c r="D283" s="524" t="str">
        <f aca="false">HLOOKUP($C$1,$E$1:$V$4910,ROW(D283))</f>
        <v>H - Transport and warehousing</v>
      </c>
      <c r="E283" s="521" t="s">
        <v>1913</v>
      </c>
      <c r="F283" s="521" t="s">
        <v>1914</v>
      </c>
      <c r="G283" s="528" t="s">
        <v>1915</v>
      </c>
      <c r="H283" s="521" t="s">
        <v>1916</v>
      </c>
      <c r="I283" s="521" t="s">
        <v>1917</v>
      </c>
    </row>
    <row r="284" customFormat="false" ht="15.75" hidden="false" customHeight="true" outlineLevel="0" collapsed="false">
      <c r="D284" s="524" t="str">
        <f aca="false">HLOOKUP($C$1,$E$1:$V$4910,ROW(D284))</f>
        <v>I - Accommodation and catering</v>
      </c>
      <c r="E284" s="521" t="s">
        <v>1918</v>
      </c>
      <c r="F284" s="521" t="s">
        <v>1919</v>
      </c>
      <c r="G284" s="528" t="s">
        <v>1920</v>
      </c>
      <c r="H284" s="521" t="s">
        <v>1921</v>
      </c>
      <c r="I284" s="521" t="s">
        <v>1922</v>
      </c>
    </row>
    <row r="285" customFormat="false" ht="15.75" hidden="false" customHeight="true" outlineLevel="0" collapsed="false">
      <c r="D285" s="524" t="str">
        <f aca="false">HLOOKUP($C$1,$E$1:$V$4910,ROW(D285))</f>
        <v>J - Information and Communication</v>
      </c>
      <c r="E285" s="521" t="s">
        <v>31</v>
      </c>
      <c r="F285" s="521" t="s">
        <v>1923</v>
      </c>
      <c r="G285" s="528" t="s">
        <v>1924</v>
      </c>
      <c r="H285" s="521" t="s">
        <v>1925</v>
      </c>
      <c r="I285" s="521" t="s">
        <v>1926</v>
      </c>
    </row>
    <row r="286" customFormat="false" ht="15.75" hidden="false" customHeight="true" outlineLevel="0" collapsed="false">
      <c r="D286" s="524" t="str">
        <f aca="false">HLOOKUP($C$1,$E$1:$V$4910,ROW(D286))</f>
        <v>K - Financial services</v>
      </c>
      <c r="E286" s="521" t="s">
        <v>1927</v>
      </c>
      <c r="F286" s="521" t="s">
        <v>1928</v>
      </c>
      <c r="G286" s="528" t="s">
        <v>1929</v>
      </c>
      <c r="H286" s="521" t="s">
        <v>1930</v>
      </c>
      <c r="I286" s="521" t="s">
        <v>1931</v>
      </c>
    </row>
    <row r="287" customFormat="false" ht="15.75" hidden="false" customHeight="true" outlineLevel="0" collapsed="false">
      <c r="D287" s="524" t="str">
        <f aca="false">HLOOKUP($C$1,$E$1:$V$4910,ROW(D287))</f>
        <v>L - Real estate</v>
      </c>
      <c r="E287" s="521" t="s">
        <v>1932</v>
      </c>
      <c r="F287" s="521" t="s">
        <v>1933</v>
      </c>
      <c r="G287" s="528" t="s">
        <v>1934</v>
      </c>
      <c r="H287" s="521" t="s">
        <v>1935</v>
      </c>
      <c r="I287" s="521" t="s">
        <v>1936</v>
      </c>
    </row>
    <row r="288" customFormat="false" ht="28.5" hidden="false" customHeight="true" outlineLevel="0" collapsed="false">
      <c r="D288" s="524" t="str">
        <f aca="false">HLOOKUP($C$1,$E$1:$V$4910,ROW(D288))</f>
        <v>M - Professional, technical and scientific services</v>
      </c>
      <c r="E288" s="521" t="s">
        <v>1937</v>
      </c>
      <c r="F288" s="521" t="s">
        <v>1938</v>
      </c>
      <c r="G288" s="528" t="s">
        <v>1939</v>
      </c>
      <c r="H288" s="521" t="s">
        <v>1940</v>
      </c>
      <c r="I288" s="521" t="s">
        <v>1941</v>
      </c>
    </row>
    <row r="289" customFormat="false" ht="28.5" hidden="false" customHeight="true" outlineLevel="0" collapsed="false">
      <c r="D289" s="524" t="str">
        <f aca="false">HLOOKUP($C$1,$E$1:$V$4910,ROW(D289))</f>
        <v>N - Administrative and support services</v>
      </c>
      <c r="E289" s="521" t="s">
        <v>1942</v>
      </c>
      <c r="F289" s="521" t="s">
        <v>1943</v>
      </c>
      <c r="G289" s="528" t="s">
        <v>1944</v>
      </c>
      <c r="H289" s="521" t="s">
        <v>1945</v>
      </c>
      <c r="I289" s="521" t="s">
        <v>1946</v>
      </c>
    </row>
    <row r="290" customFormat="false" ht="28.5" hidden="false" customHeight="true" outlineLevel="0" collapsed="false">
      <c r="D290" s="524" t="str">
        <f aca="false">HLOOKUP($C$1,$E$1:$V$4910,ROW(D290))</f>
        <v>O - Public administration; defence; social security</v>
      </c>
      <c r="E290" s="521" t="s">
        <v>1947</v>
      </c>
      <c r="F290" s="521" t="s">
        <v>1948</v>
      </c>
      <c r="G290" s="528" t="s">
        <v>1949</v>
      </c>
      <c r="H290" s="521" t="s">
        <v>1950</v>
      </c>
      <c r="I290" s="521" t="s">
        <v>1951</v>
      </c>
    </row>
    <row r="291" customFormat="false" ht="15.75" hidden="false" customHeight="true" outlineLevel="0" collapsed="false">
      <c r="D291" s="524" t="str">
        <f aca="false">HLOOKUP($C$1,$E$1:$V$4910,ROW(D291))</f>
        <v>P - Education</v>
      </c>
      <c r="E291" s="521" t="s">
        <v>1952</v>
      </c>
      <c r="F291" s="521" t="s">
        <v>1953</v>
      </c>
      <c r="G291" s="528" t="s">
        <v>1954</v>
      </c>
      <c r="H291" s="521" t="s">
        <v>1955</v>
      </c>
      <c r="I291" s="521" t="s">
        <v>1956</v>
      </c>
    </row>
    <row r="292" customFormat="false" ht="28.5" hidden="false" customHeight="true" outlineLevel="0" collapsed="false">
      <c r="D292" s="524" t="str">
        <f aca="false">HLOOKUP($C$1,$E$1:$V$4910,ROW(D292))</f>
        <v>Q - Health and social work</v>
      </c>
      <c r="E292" s="521" t="s">
        <v>1957</v>
      </c>
      <c r="F292" s="521" t="s">
        <v>1958</v>
      </c>
      <c r="G292" s="528" t="s">
        <v>1959</v>
      </c>
      <c r="H292" s="521" t="s">
        <v>1960</v>
      </c>
      <c r="I292" s="521" t="s">
        <v>1961</v>
      </c>
    </row>
    <row r="293" customFormat="false" ht="28.5" hidden="false" customHeight="true" outlineLevel="0" collapsed="false">
      <c r="D293" s="524" t="str">
        <f aca="false">HLOOKUP($C$1,$E$1:$V$4910,ROW(D293))</f>
        <v>R - Art, education and leisure</v>
      </c>
      <c r="E293" s="521" t="s">
        <v>1962</v>
      </c>
      <c r="F293" s="521" t="s">
        <v>1963</v>
      </c>
      <c r="G293" s="528" t="s">
        <v>1964</v>
      </c>
      <c r="H293" s="521" t="s">
        <v>1965</v>
      </c>
      <c r="I293" s="521" t="s">
        <v>1966</v>
      </c>
    </row>
    <row r="294" customFormat="false" ht="15.75" hidden="false" customHeight="true" outlineLevel="0" collapsed="false">
      <c r="D294" s="524" t="str">
        <f aca="false">HLOOKUP($C$1,$E$1:$V$4910,ROW(D294))</f>
        <v>S - Other services</v>
      </c>
      <c r="E294" s="521" t="s">
        <v>1967</v>
      </c>
      <c r="F294" s="521" t="s">
        <v>1968</v>
      </c>
      <c r="G294" s="528" t="s">
        <v>1969</v>
      </c>
      <c r="H294" s="521" t="s">
        <v>1970</v>
      </c>
      <c r="I294" s="521" t="s">
        <v>1971</v>
      </c>
    </row>
    <row r="295" customFormat="false" ht="54.75" hidden="false" customHeight="true" outlineLevel="0" collapsed="false">
      <c r="D295" s="524" t="str">
        <f aca="false">HLOOKUP($C$1,$E$1:$V$4910,ROW(D295))</f>
        <v>Please enter</v>
      </c>
      <c r="E295" s="527" t="s">
        <v>1972</v>
      </c>
      <c r="F295" s="521" t="s">
        <v>1973</v>
      </c>
      <c r="G295" s="528" t="s">
        <v>23</v>
      </c>
      <c r="H295" s="521" t="s">
        <v>1974</v>
      </c>
      <c r="I295" s="521" t="s">
        <v>1975</v>
      </c>
    </row>
    <row r="296" customFormat="false" ht="28.5" hidden="false" customHeight="true" outlineLevel="0" collapsed="false">
      <c r="D296" s="524" t="str">
        <f aca="false">HLOOKUP($C$1,$E$1:$V$4910,ROW(D296))</f>
        <v>U - Extraterritorial organisations and bodies</v>
      </c>
      <c r="E296" s="521" t="s">
        <v>1976</v>
      </c>
      <c r="F296" s="521" t="s">
        <v>1977</v>
      </c>
      <c r="G296" s="528" t="s">
        <v>1978</v>
      </c>
      <c r="H296" s="521" t="s">
        <v>1979</v>
      </c>
      <c r="I296" s="521" t="s">
        <v>1980</v>
      </c>
    </row>
    <row r="297" customFormat="false" ht="15.75" hidden="false" customHeight="true" outlineLevel="0" collapsed="false">
      <c r="D297" s="524" t="str">
        <f aca="false">HLOOKUP($C$1,$E$1:$V$4910,ROW(D297))</f>
        <v>Total purchases from suppliers (in Euros):</v>
      </c>
      <c r="E297" s="521" t="s">
        <v>1981</v>
      </c>
      <c r="F297" s="521" t="s">
        <v>1982</v>
      </c>
      <c r="G297" s="528" t="s">
        <v>1983</v>
      </c>
      <c r="H297" s="521" t="s">
        <v>1984</v>
      </c>
      <c r="I297" s="521" t="s">
        <v>1985</v>
      </c>
    </row>
    <row r="298" customFormat="false" ht="41.25" hidden="false" customHeight="true" outlineLevel="0" collapsed="false">
      <c r="D298" s="524" t="str">
        <f aca="false">HLOOKUP($C$1,$E$1:$V$4910,ROW(D298))</f>
        <v>Enter the 5 most important industry sectors whose products or services you use.</v>
      </c>
      <c r="E298" s="521" t="s">
        <v>1986</v>
      </c>
      <c r="F298" s="521" t="s">
        <v>1987</v>
      </c>
      <c r="G298" s="528" t="s">
        <v>1988</v>
      </c>
      <c r="H298" s="521" t="s">
        <v>1989</v>
      </c>
      <c r="I298" s="521" t="s">
        <v>1990</v>
      </c>
    </row>
    <row r="299" customFormat="false" ht="15.75" hidden="false" customHeight="true" outlineLevel="0" collapsed="false">
      <c r="D299" s="524" t="str">
        <f aca="false">HLOOKUP($C$1,$E$1:$V$4910,ROW(D299))</f>
        <v>Industry sector</v>
      </c>
      <c r="E299" s="521" t="s">
        <v>1991</v>
      </c>
      <c r="F299" s="521" t="s">
        <v>1992</v>
      </c>
      <c r="G299" s="528" t="s">
        <v>1993</v>
      </c>
      <c r="H299" s="521" t="s">
        <v>1994</v>
      </c>
      <c r="I299" s="521" t="s">
        <v>1995</v>
      </c>
    </row>
    <row r="300" customFormat="false" ht="15.75" hidden="false" customHeight="true" outlineLevel="0" collapsed="false">
      <c r="D300" s="524" t="str">
        <f aca="false">HLOOKUP($C$1,$E$1:$V$4910,ROW(D300))</f>
        <v>Description</v>
      </c>
      <c r="E300" s="521" t="s">
        <v>1996</v>
      </c>
      <c r="F300" s="521" t="s">
        <v>1121</v>
      </c>
      <c r="G300" s="528" t="s">
        <v>1997</v>
      </c>
      <c r="H300" s="521" t="s">
        <v>1998</v>
      </c>
      <c r="I300" s="521" t="s">
        <v>1997</v>
      </c>
    </row>
    <row r="301" customFormat="false" ht="15.75" hidden="false" customHeight="true" outlineLevel="0" collapsed="false">
      <c r="D301" s="524" t="str">
        <f aca="false">HLOOKUP($C$1,$E$1:$V$4910,ROW(D301))</f>
        <v>Region of origin</v>
      </c>
      <c r="E301" s="521" t="s">
        <v>1999</v>
      </c>
      <c r="F301" s="521" t="s">
        <v>2000</v>
      </c>
      <c r="G301" s="528" t="s">
        <v>2001</v>
      </c>
      <c r="H301" s="521" t="s">
        <v>2002</v>
      </c>
      <c r="I301" s="521" t="s">
        <v>2003</v>
      </c>
    </row>
    <row r="302" customFormat="false" ht="15.75" hidden="false" customHeight="true" outlineLevel="0" collapsed="false">
      <c r="D302" s="524" t="str">
        <f aca="false">HLOOKUP($C$1,$E$1:$V$4910,ROW(D302))</f>
        <v>Costs</v>
      </c>
      <c r="E302" s="521" t="s">
        <v>2004</v>
      </c>
      <c r="F302" s="521" t="s">
        <v>2005</v>
      </c>
      <c r="G302" s="528" t="s">
        <v>2006</v>
      </c>
      <c r="H302" s="521" t="s">
        <v>2007</v>
      </c>
      <c r="I302" s="521" t="s">
        <v>2008</v>
      </c>
    </row>
    <row r="303" customFormat="false" ht="28.5" hidden="false" customHeight="true" outlineLevel="0" collapsed="false">
      <c r="D303" s="524" t="str">
        <f aca="false">HLOOKUP($C$1,$E$1:$V$4910,ROW(D303))</f>
        <v>Main origin of the other suppliers</v>
      </c>
      <c r="E303" s="521" t="s">
        <v>2009</v>
      </c>
      <c r="F303" s="521" t="s">
        <v>2010</v>
      </c>
      <c r="G303" s="528" t="s">
        <v>2011</v>
      </c>
      <c r="H303" s="521" t="s">
        <v>2012</v>
      </c>
      <c r="I303" s="521" t="s">
        <v>2013</v>
      </c>
    </row>
    <row r="304" customFormat="false" ht="15.75" hidden="false" customHeight="true" outlineLevel="0" collapsed="false">
      <c r="D304" s="524" t="str">
        <f aca="false">HLOOKUP($C$1,$E$1:$V$4910,ROW(D304))</f>
        <v>Profit</v>
      </c>
      <c r="E304" s="521" t="s">
        <v>2014</v>
      </c>
      <c r="F304" s="521" t="s">
        <v>2015</v>
      </c>
      <c r="G304" s="528" t="s">
        <v>2016</v>
      </c>
      <c r="H304" s="521" t="s">
        <v>2017</v>
      </c>
      <c r="I304" s="521" t="s">
        <v>2018</v>
      </c>
    </row>
    <row r="305" customFormat="false" ht="15.75" hidden="false" customHeight="true" outlineLevel="0" collapsed="false">
      <c r="D305" s="524" t="str">
        <f aca="false">HLOOKUP($C$1,$E$1:$V$4910,ROW(D305))</f>
        <v>Financing costs</v>
      </c>
      <c r="E305" s="521" t="s">
        <v>2019</v>
      </c>
      <c r="F305" s="521" t="s">
        <v>2020</v>
      </c>
      <c r="G305" s="528" t="s">
        <v>2021</v>
      </c>
      <c r="H305" s="521" t="s">
        <v>2022</v>
      </c>
      <c r="I305" s="521" t="s">
        <v>2023</v>
      </c>
    </row>
    <row r="306" customFormat="false" ht="15.75" hidden="false" customHeight="true" outlineLevel="0" collapsed="false">
      <c r="D306" s="524" t="str">
        <f aca="false">HLOOKUP($C$1,$E$1:$V$4910,ROW(D306))</f>
        <v>Income from financial investments</v>
      </c>
      <c r="E306" s="521" t="s">
        <v>2024</v>
      </c>
      <c r="F306" s="521" t="s">
        <v>2025</v>
      </c>
      <c r="G306" s="528" t="s">
        <v>2026</v>
      </c>
      <c r="H306" s="521" t="s">
        <v>2027</v>
      </c>
      <c r="I306" s="521" t="s">
        <v>2028</v>
      </c>
    </row>
    <row r="307" customFormat="false" ht="15.75" hidden="false" customHeight="true" outlineLevel="0" collapsed="false">
      <c r="D307" s="524" t="str">
        <f aca="false">HLOOKUP($C$1,$E$1:$V$4910,ROW(D307))</f>
        <v>Total assets</v>
      </c>
      <c r="E307" s="521" t="s">
        <v>2029</v>
      </c>
      <c r="F307" s="521" t="s">
        <v>2030</v>
      </c>
      <c r="G307" s="528" t="s">
        <v>2031</v>
      </c>
      <c r="H307" s="521" t="s">
        <v>2032</v>
      </c>
      <c r="I307" s="521" t="s">
        <v>2033</v>
      </c>
    </row>
    <row r="308" customFormat="false" ht="15.75" hidden="false" customHeight="true" outlineLevel="0" collapsed="false">
      <c r="D308" s="524" t="str">
        <f aca="false">HLOOKUP($C$1,$E$1:$V$4910,ROW(D308))</f>
        <v>Additions to fixed-assets</v>
      </c>
      <c r="E308" s="521" t="s">
        <v>2034</v>
      </c>
      <c r="F308" s="521" t="s">
        <v>2035</v>
      </c>
      <c r="G308" s="528" t="s">
        <v>2036</v>
      </c>
      <c r="H308" s="521" t="s">
        <v>2037</v>
      </c>
      <c r="I308" s="521" t="s">
        <v>2038</v>
      </c>
    </row>
    <row r="309" customFormat="false" ht="15.75" hidden="false" customHeight="true" outlineLevel="0" collapsed="false">
      <c r="D309" s="524" t="str">
        <f aca="false">HLOOKUP($C$1,$E$1:$V$4910,ROW(D309))</f>
        <v>Financial assets and cash balance</v>
      </c>
      <c r="E309" s="521" t="s">
        <v>2039</v>
      </c>
      <c r="F309" s="521" t="s">
        <v>2040</v>
      </c>
      <c r="G309" s="528" t="s">
        <v>2041</v>
      </c>
      <c r="H309" s="521" t="s">
        <v>2042</v>
      </c>
      <c r="I309" s="521" t="s">
        <v>2043</v>
      </c>
    </row>
    <row r="310" customFormat="false" ht="28.5" hidden="false" customHeight="true" outlineLevel="0" collapsed="false">
      <c r="D310" s="524" t="str">
        <f aca="false">HLOOKUP($C$1,$E$1:$V$4910,ROW(D310))</f>
        <v>Number of employees (full time equivalents)</v>
      </c>
      <c r="E310" s="521" t="s">
        <v>2044</v>
      </c>
      <c r="F310" s="521" t="s">
        <v>2045</v>
      </c>
      <c r="G310" s="528" t="s">
        <v>2046</v>
      </c>
      <c r="H310" s="521" t="s">
        <v>2047</v>
      </c>
      <c r="I310" s="521" t="s">
        <v>2048</v>
      </c>
    </row>
    <row r="311" customFormat="false" ht="28.5" hidden="false" customHeight="true" outlineLevel="0" collapsed="false">
      <c r="D311" s="524" t="str">
        <f aca="false">HLOOKUP($C$1,$E$1:$V$4910,ROW(D311))</f>
        <v>Staff costs (gross without employer contribution)</v>
      </c>
      <c r="E311" s="521" t="s">
        <v>2049</v>
      </c>
      <c r="F311" s="521" t="s">
        <v>2050</v>
      </c>
      <c r="G311" s="528" t="s">
        <v>2051</v>
      </c>
      <c r="H311" s="521" t="s">
        <v>2052</v>
      </c>
      <c r="I311" s="521" t="s">
        <v>2053</v>
      </c>
    </row>
    <row r="312" customFormat="false" ht="41.25" hidden="false" customHeight="true" outlineLevel="0" collapsed="false">
      <c r="D312" s="524" t="str">
        <f aca="false">HLOOKUP($C$1,$E$1:$V$4910,ROW(D312))</f>
        <v>Enter the 3 countries and regions where most of the staff are</v>
      </c>
      <c r="E312" s="527" t="s">
        <v>2054</v>
      </c>
      <c r="F312" s="521" t="s">
        <v>2055</v>
      </c>
      <c r="G312" s="528" t="s">
        <v>2056</v>
      </c>
      <c r="H312" s="521" t="s">
        <v>2057</v>
      </c>
      <c r="I312" s="521" t="s">
        <v>2058</v>
      </c>
    </row>
    <row r="313" customFormat="false" ht="15.75" hidden="false" customHeight="true" outlineLevel="0" collapsed="false">
      <c r="D313" s="524" t="str">
        <f aca="false">HLOOKUP($C$1,$E$1:$V$4910,ROW(D313))</f>
        <v>Country and region</v>
      </c>
      <c r="E313" s="521" t="s">
        <v>2059</v>
      </c>
      <c r="F313" s="521" t="s">
        <v>2060</v>
      </c>
      <c r="G313" s="528" t="s">
        <v>2061</v>
      </c>
      <c r="H313" s="521" t="s">
        <v>2062</v>
      </c>
      <c r="I313" s="521" t="s">
        <v>2063</v>
      </c>
    </row>
    <row r="314" customFormat="false" ht="15.75" hidden="false" customHeight="true" outlineLevel="0" collapsed="false">
      <c r="D314" s="524" t="str">
        <f aca="false">HLOOKUP($C$1,$E$1:$V$4910,ROW(D314))</f>
        <v>Amount in %</v>
      </c>
      <c r="E314" s="521" t="s">
        <v>2064</v>
      </c>
      <c r="F314" s="521" t="s">
        <v>2065</v>
      </c>
      <c r="G314" s="528" t="s">
        <v>2066</v>
      </c>
      <c r="H314" s="521" t="s">
        <v>2067</v>
      </c>
      <c r="I314" s="521" t="s">
        <v>2068</v>
      </c>
    </row>
    <row r="315" customFormat="false" ht="28.5" hidden="false" customHeight="true" outlineLevel="0" collapsed="false">
      <c r="D315" s="524" t="str">
        <f aca="false">HLOOKUP($C$1,$E$1:$V$4910,ROW(D315))</f>
        <v>Average journey to work for staff (in km)</v>
      </c>
      <c r="E315" s="521" t="s">
        <v>2069</v>
      </c>
      <c r="F315" s="521" t="s">
        <v>2070</v>
      </c>
      <c r="G315" s="528" t="s">
        <v>2071</v>
      </c>
      <c r="H315" s="521" t="s">
        <v>2072</v>
      </c>
      <c r="I315" s="521" t="s">
        <v>2073</v>
      </c>
    </row>
    <row r="316" customFormat="false" ht="29.25" hidden="false" customHeight="true" outlineLevel="0" collapsed="false">
      <c r="D316" s="524" t="str">
        <f aca="false">HLOOKUP($C$1,$E$1:$V$4910,ROW(D316))</f>
        <v>Is there a canteen for the majority of staff?</v>
      </c>
      <c r="E316" s="521" t="s">
        <v>2074</v>
      </c>
      <c r="F316" s="521" t="s">
        <v>2075</v>
      </c>
      <c r="G316" s="528" t="s">
        <v>2076</v>
      </c>
      <c r="H316" s="521" t="s">
        <v>2077</v>
      </c>
      <c r="I316" s="521" t="s">
        <v>2078</v>
      </c>
    </row>
    <row r="317" customFormat="false" ht="15.75" hidden="false" customHeight="true" outlineLevel="0" collapsed="false">
      <c r="D317" s="524" t="str">
        <f aca="false">HLOOKUP($C$1,$E$1:$V$4910,ROW(D317))</f>
        <v>Turnover (in Euros)</v>
      </c>
      <c r="E317" s="521" t="s">
        <v>2079</v>
      </c>
      <c r="F317" s="521" t="s">
        <v>2080</v>
      </c>
      <c r="G317" s="528" t="s">
        <v>2081</v>
      </c>
      <c r="H317" s="521" t="s">
        <v>2082</v>
      </c>
      <c r="I317" s="521" t="s">
        <v>2083</v>
      </c>
    </row>
    <row r="318" customFormat="false" ht="28.5" hidden="false" customHeight="true" outlineLevel="0" collapsed="false">
      <c r="D318" s="524" t="str">
        <f aca="false">HLOOKUP($C$1,$E$1:$V$4910,ROW(D318))</f>
        <v>Are your customers mainly other companies?</v>
      </c>
      <c r="E318" s="521" t="s">
        <v>2084</v>
      </c>
      <c r="F318" s="521" t="s">
        <v>2085</v>
      </c>
      <c r="G318" s="528" t="s">
        <v>2086</v>
      </c>
      <c r="H318" s="521" t="s">
        <v>2087</v>
      </c>
      <c r="I318" s="521" t="s">
        <v>2088</v>
      </c>
    </row>
    <row r="319" customFormat="false" ht="41.25" hidden="false" customHeight="true" outlineLevel="0" collapsed="false">
      <c r="D319" s="524" t="str">
        <f aca="false">HLOOKUP($C$1,$E$1:$V$4910,ROW(D319))</f>
        <v>Enter the 3 most important industry sectors which your company is active in, including a rough share of turnover</v>
      </c>
      <c r="E319" s="521" t="s">
        <v>2089</v>
      </c>
      <c r="F319" s="521" t="s">
        <v>2090</v>
      </c>
      <c r="G319" s="528" t="s">
        <v>2091</v>
      </c>
      <c r="H319" s="521" t="s">
        <v>2092</v>
      </c>
      <c r="I319" s="521" t="s">
        <v>2093</v>
      </c>
    </row>
    <row r="320" customFormat="false" ht="15.75" hidden="false" customHeight="true" outlineLevel="0" collapsed="false">
      <c r="D320" s="524" t="str">
        <f aca="false">HLOOKUP($C$1,$E$1:$V$4910,ROW(D320))</f>
        <v>Industry sector</v>
      </c>
      <c r="E320" s="521" t="s">
        <v>1991</v>
      </c>
      <c r="F320" s="521" t="s">
        <v>1992</v>
      </c>
      <c r="G320" s="528" t="s">
        <v>1993</v>
      </c>
      <c r="H320" s="521" t="s">
        <v>1994</v>
      </c>
      <c r="I320" s="521" t="s">
        <v>1995</v>
      </c>
    </row>
    <row r="321" customFormat="false" ht="15.75" hidden="false" customHeight="true" outlineLevel="0" collapsed="false">
      <c r="D321" s="524" t="str">
        <f aca="false">HLOOKUP($C$1,$E$1:$V$4910,ROW(D321))</f>
        <v>Description</v>
      </c>
      <c r="E321" s="521" t="s">
        <v>1996</v>
      </c>
      <c r="F321" s="521" t="s">
        <v>2094</v>
      </c>
      <c r="G321" s="528" t="s">
        <v>1997</v>
      </c>
      <c r="H321" s="521" t="s">
        <v>1998</v>
      </c>
      <c r="I321" s="521" t="s">
        <v>1997</v>
      </c>
    </row>
    <row r="322" customFormat="false" ht="15.75" hidden="false" customHeight="true" outlineLevel="0" collapsed="false">
      <c r="D322" s="524" t="str">
        <f aca="false">HLOOKUP($C$1,$E$1:$V$4910,ROW(D322))</f>
        <v>% Amount of total turnover</v>
      </c>
      <c r="E322" s="521" t="s">
        <v>2095</v>
      </c>
      <c r="F322" s="521" t="s">
        <v>2096</v>
      </c>
      <c r="G322" s="528" t="s">
        <v>2097</v>
      </c>
      <c r="H322" s="521" t="s">
        <v>2098</v>
      </c>
      <c r="I322" s="521" t="s">
        <v>2099</v>
      </c>
    </row>
    <row r="323" customFormat="false" ht="15.75" hidden="false" customHeight="true" outlineLevel="0" collapsed="false">
      <c r="D323" s="524" t="str">
        <f aca="false">HLOOKUP($C$1,$E$1:$V$4910,ROW(D323))</f>
        <v>Company size</v>
      </c>
      <c r="E323" s="521" t="s">
        <v>2100</v>
      </c>
      <c r="F323" s="521" t="s">
        <v>2101</v>
      </c>
      <c r="G323" s="528" t="s">
        <v>2102</v>
      </c>
      <c r="H323" s="521" t="s">
        <v>2103</v>
      </c>
      <c r="I323" s="521" t="s">
        <v>2104</v>
      </c>
    </row>
    <row r="324" customFormat="false" ht="15.75" hidden="false" customHeight="true" outlineLevel="0" collapsed="false">
      <c r="D324" s="524" t="str">
        <f aca="false">HLOOKUP($C$1,$E$1:$V$4910,ROW(D324))</f>
        <v>Micro-business</v>
      </c>
      <c r="E324" s="521" t="s">
        <v>2105</v>
      </c>
      <c r="F324" s="521" t="s">
        <v>2106</v>
      </c>
      <c r="G324" s="528" t="s">
        <v>2107</v>
      </c>
      <c r="H324" s="521" t="s">
        <v>2108</v>
      </c>
      <c r="I324" s="521" t="s">
        <v>2109</v>
      </c>
    </row>
    <row r="325" customFormat="false" ht="15.75" hidden="false" customHeight="true" outlineLevel="0" collapsed="false">
      <c r="D325" s="524" t="str">
        <f aca="false">HLOOKUP($C$1,$E$1:$V$4910,ROW(D325))</f>
        <v>Small business</v>
      </c>
      <c r="E325" s="521" t="s">
        <v>2110</v>
      </c>
      <c r="F325" s="521" t="s">
        <v>2111</v>
      </c>
      <c r="G325" s="528" t="s">
        <v>2112</v>
      </c>
      <c r="H325" s="521" t="s">
        <v>2113</v>
      </c>
      <c r="I325" s="521" t="s">
        <v>2114</v>
      </c>
    </row>
    <row r="326" customFormat="false" ht="15.75" hidden="false" customHeight="true" outlineLevel="0" collapsed="false">
      <c r="D326" s="524" t="str">
        <f aca="false">HLOOKUP($C$1,$E$1:$V$4910,ROW(D326))</f>
        <v>Medium business</v>
      </c>
      <c r="E326" s="521" t="s">
        <v>2115</v>
      </c>
      <c r="F326" s="521" t="s">
        <v>2116</v>
      </c>
      <c r="G326" s="528" t="s">
        <v>2117</v>
      </c>
      <c r="H326" s="521" t="s">
        <v>2118</v>
      </c>
      <c r="I326" s="521" t="s">
        <v>2119</v>
      </c>
    </row>
    <row r="327" customFormat="false" ht="15.75" hidden="false" customHeight="true" outlineLevel="0" collapsed="false">
      <c r="D327" s="524" t="str">
        <f aca="false">HLOOKUP($C$1,$E$1:$V$4910,ROW(D327))</f>
        <v>Large business</v>
      </c>
      <c r="E327" s="521" t="s">
        <v>2120</v>
      </c>
      <c r="F327" s="521" t="s">
        <v>2121</v>
      </c>
      <c r="G327" s="528" t="s">
        <v>2122</v>
      </c>
      <c r="H327" s="521" t="s">
        <v>2123</v>
      </c>
      <c r="I327" s="521" t="s">
        <v>2124</v>
      </c>
    </row>
    <row r="328" customFormat="false" ht="28.5" hidden="false" customHeight="true" outlineLevel="0" collapsed="false">
      <c r="D328" s="524" t="str">
        <f aca="false">HLOOKUP($C$1,$E$1:$V$4910,ROW(D328))</f>
        <v>[en]In diesem Tabellenblatt wird die Gemeinwohlbilanz berechnet. </v>
      </c>
      <c r="E328" s="527" t="s">
        <v>2125</v>
      </c>
      <c r="F328" s="521" t="s">
        <v>2126</v>
      </c>
      <c r="G328" s="521" t="str">
        <f aca="false">"[en]"&amp;E328</f>
        <v>[en]In diesem Tabellenblatt wird die Gemeinwohlbilanz berechnet. </v>
      </c>
      <c r="H328" s="521" t="s">
        <v>2127</v>
      </c>
      <c r="I328" s="521" t="s">
        <v>2128</v>
      </c>
    </row>
    <row r="329" customFormat="false" ht="28.5" hidden="false" customHeight="true" outlineLevel="0" collapsed="false">
      <c r="D329" s="524" t="str">
        <f aca="false">HLOOKUP($C$1,$E$1:$V$4910,ROW(D329))</f>
        <v>Introduce value between 0 and 10</v>
      </c>
      <c r="E329" s="527" t="s">
        <v>2129</v>
      </c>
      <c r="F329" s="559" t="s">
        <v>2130</v>
      </c>
      <c r="G329" s="528" t="s">
        <v>2131</v>
      </c>
      <c r="H329" s="521" t="s">
        <v>2132</v>
      </c>
      <c r="I329" s="521" t="s">
        <v>2133</v>
      </c>
    </row>
    <row r="330" customFormat="false" ht="28.5" hidden="false" customHeight="true" outlineLevel="0" collapsed="false">
      <c r="D330" s="524" t="str">
        <f aca="false">HLOOKUP($C$1,$E$1:$V$4910,ROW(D330))</f>
        <v>Introduce negative points between 0 and -200</v>
      </c>
      <c r="E330" s="527" t="s">
        <v>2134</v>
      </c>
      <c r="F330" s="559" t="s">
        <v>2135</v>
      </c>
      <c r="G330" s="528" t="s">
        <v>2136</v>
      </c>
      <c r="H330" s="521" t="s">
        <v>2137</v>
      </c>
      <c r="I330" s="521" t="s">
        <v>2138</v>
      </c>
    </row>
    <row r="331" customFormat="false" ht="15.75" hidden="false" customHeight="true" outlineLevel="0" collapsed="false">
      <c r="D331" s="524" t="str">
        <f aca="false">HLOOKUP($C$1,$E$1:$V$4910,ROW(D331))</f>
        <v>[en]globaler Durchschnitt</v>
      </c>
      <c r="E331" s="560" t="s">
        <v>2139</v>
      </c>
      <c r="F331" s="521" t="s">
        <v>2140</v>
      </c>
      <c r="G331" s="528" t="str">
        <f aca="false">"[en]"&amp;E331</f>
        <v>[en]globaler Durchschnitt</v>
      </c>
      <c r="H331" s="521" t="s">
        <v>2141</v>
      </c>
      <c r="I331" s="521" t="s">
        <v>2142</v>
      </c>
    </row>
    <row r="332" customFormat="false" ht="15.75" hidden="false" customHeight="true" outlineLevel="0" collapsed="false">
      <c r="D332" s="524" t="str">
        <f aca="false">HLOOKUP($C$1,$E$1:$V$4910,ROW(D332))</f>
        <v>Please choose</v>
      </c>
      <c r="E332" s="560" t="s">
        <v>2143</v>
      </c>
      <c r="F332" s="521" t="s">
        <v>1582</v>
      </c>
      <c r="G332" s="528" t="s">
        <v>1583</v>
      </c>
      <c r="H332" s="521" t="s">
        <v>2144</v>
      </c>
      <c r="I332" s="521" t="s">
        <v>1585</v>
      </c>
    </row>
    <row r="333" customFormat="false" ht="15.75" hidden="false" customHeight="true" outlineLevel="0" collapsed="false">
      <c r="D333" s="524" t="str">
        <f aca="false">HLOOKUP($C$1,$E$1:$V$4910,ROW(D333))</f>
        <v>[en]Afrika</v>
      </c>
      <c r="E333" s="560" t="s">
        <v>2145</v>
      </c>
      <c r="F333" s="521" t="s">
        <v>286</v>
      </c>
      <c r="G333" s="528" t="str">
        <f aca="false">"[en]"&amp;E333</f>
        <v>[en]Afrika</v>
      </c>
      <c r="H333" s="521" t="s">
        <v>2146</v>
      </c>
      <c r="I333" s="521" t="s">
        <v>2147</v>
      </c>
    </row>
    <row r="334" customFormat="false" ht="15.75" hidden="false" customHeight="true" outlineLevel="0" collapsed="false">
      <c r="D334" s="524" t="str">
        <f aca="false">HLOOKUP($C$1,$E$1:$V$4910,ROW(D334))</f>
        <v>[en]Nord-Afrika und Mittlere Osten</v>
      </c>
      <c r="E334" s="560" t="s">
        <v>2148</v>
      </c>
      <c r="F334" s="521" t="s">
        <v>2149</v>
      </c>
      <c r="G334" s="528" t="str">
        <f aca="false">"[en]"&amp;E334</f>
        <v>[en]Nord-Afrika und Mittlere Osten</v>
      </c>
      <c r="H334" s="521" t="s">
        <v>2150</v>
      </c>
      <c r="I334" s="521" t="s">
        <v>2151</v>
      </c>
    </row>
    <row r="335" customFormat="false" ht="15.75" hidden="false" customHeight="true" outlineLevel="0" collapsed="false">
      <c r="D335" s="524" t="str">
        <f aca="false">HLOOKUP($C$1,$E$1:$V$4910,ROW(D335))</f>
        <v>[en]Latein-Amerika</v>
      </c>
      <c r="E335" s="560" t="s">
        <v>2152</v>
      </c>
      <c r="F335" s="521" t="s">
        <v>2153</v>
      </c>
      <c r="G335" s="528" t="str">
        <f aca="false">"[en]"&amp;E335</f>
        <v>[en]Latein-Amerika</v>
      </c>
      <c r="H335" s="521" t="s">
        <v>2154</v>
      </c>
      <c r="I335" s="521" t="s">
        <v>2155</v>
      </c>
    </row>
    <row r="336" customFormat="false" ht="15.75" hidden="false" customHeight="true" outlineLevel="0" collapsed="false">
      <c r="D336" s="524" t="str">
        <f aca="false">HLOOKUP($C$1,$E$1:$V$4910,ROW(D336))</f>
        <v>[en]Nord-Amerika &amp; Ozeanien</v>
      </c>
      <c r="E336" s="560" t="s">
        <v>2156</v>
      </c>
      <c r="F336" s="521" t="s">
        <v>2157</v>
      </c>
      <c r="G336" s="528" t="str">
        <f aca="false">"[en]"&amp;E336</f>
        <v>[en]Nord-Amerika &amp; Ozeanien</v>
      </c>
      <c r="H336" s="521" t="s">
        <v>2158</v>
      </c>
      <c r="I336" s="521" t="s">
        <v>2159</v>
      </c>
    </row>
    <row r="337" customFormat="false" ht="15.75" hidden="false" customHeight="true" outlineLevel="0" collapsed="false">
      <c r="D337" s="524" t="str">
        <f aca="false">HLOOKUP($C$1,$E$1:$V$4910,ROW(D337))</f>
        <v>[en]Asien</v>
      </c>
      <c r="E337" s="560" t="s">
        <v>2160</v>
      </c>
      <c r="F337" s="521" t="s">
        <v>283</v>
      </c>
      <c r="G337" s="528" t="str">
        <f aca="false">"[en]"&amp;E337</f>
        <v>[en]Asien</v>
      </c>
      <c r="H337" s="521" t="s">
        <v>283</v>
      </c>
      <c r="I337" s="521" t="s">
        <v>2161</v>
      </c>
    </row>
    <row r="338" customFormat="false" ht="15.75" hidden="false" customHeight="true" outlineLevel="0" collapsed="false">
      <c r="D338" s="524" t="str">
        <f aca="false">HLOOKUP($C$1,$E$1:$V$4910,ROW(D338))</f>
        <v>[en]Europa</v>
      </c>
      <c r="E338" s="560" t="s">
        <v>2162</v>
      </c>
      <c r="F338" s="521" t="s">
        <v>2162</v>
      </c>
      <c r="G338" s="528" t="str">
        <f aca="false">"[en]"&amp;E338</f>
        <v>[en]Europa</v>
      </c>
      <c r="H338" s="521" t="s">
        <v>2162</v>
      </c>
      <c r="I338" s="521" t="s">
        <v>289</v>
      </c>
    </row>
    <row r="339" customFormat="false" ht="15.75" hidden="false" customHeight="true" outlineLevel="0" collapsed="false">
      <c r="A339" s="561" t="s">
        <v>281</v>
      </c>
      <c r="B339" s="520" t="s">
        <v>2163</v>
      </c>
      <c r="C339" s="561" t="s">
        <v>2164</v>
      </c>
      <c r="D339" s="524" t="str">
        <f aca="false">A339&amp;" "&amp;HLOOKUP($C$1,$E$1:$V$4910,ROW(D339))</f>
        <v>ABW Aruba </v>
      </c>
      <c r="E339" s="562" t="s">
        <v>278</v>
      </c>
      <c r="F339" s="521" t="s">
        <v>2165</v>
      </c>
      <c r="G339" s="528" t="s">
        <v>2165</v>
      </c>
      <c r="H339" s="521" t="s">
        <v>278</v>
      </c>
      <c r="I339" s="521" t="s">
        <v>278</v>
      </c>
      <c r="J339" s="506" t="s">
        <v>281</v>
      </c>
      <c r="K339" s="522" t="str">
        <f aca="false">IF(J339=A339,"","nix")</f>
        <v/>
      </c>
    </row>
    <row r="340" customFormat="false" ht="15.75" hidden="false" customHeight="true" outlineLevel="0" collapsed="false">
      <c r="A340" s="561" t="s">
        <v>284</v>
      </c>
      <c r="B340" s="520" t="s">
        <v>2166</v>
      </c>
      <c r="C340" s="561" t="s">
        <v>2167</v>
      </c>
      <c r="D340" s="524" t="str">
        <f aca="false">A340&amp;" "&amp;HLOOKUP($C$1,$E$1:$V$4910,ROW(D340))</f>
        <v>AFG Afghanistan </v>
      </c>
      <c r="E340" s="562" t="s">
        <v>282</v>
      </c>
      <c r="F340" s="521" t="s">
        <v>2168</v>
      </c>
      <c r="G340" s="528" t="s">
        <v>2168</v>
      </c>
      <c r="H340" s="521" t="s">
        <v>2169</v>
      </c>
      <c r="I340" s="521" t="s">
        <v>282</v>
      </c>
      <c r="J340" s="506" t="s">
        <v>284</v>
      </c>
      <c r="K340" s="522" t="str">
        <f aca="false">IF(J340=A340,"","nix")</f>
        <v/>
      </c>
    </row>
    <row r="341" customFormat="false" ht="15.75" hidden="false" customHeight="true" outlineLevel="0" collapsed="false">
      <c r="A341" s="561" t="s">
        <v>287</v>
      </c>
      <c r="B341" s="520" t="s">
        <v>2170</v>
      </c>
      <c r="C341" s="561" t="s">
        <v>2171</v>
      </c>
      <c r="D341" s="524" t="str">
        <f aca="false">A341&amp;" "&amp;HLOOKUP($C$1,$E$1:$V$4910,ROW(D341))</f>
        <v>AGO Angola </v>
      </c>
      <c r="E341" s="562" t="s">
        <v>285</v>
      </c>
      <c r="F341" s="521" t="s">
        <v>2172</v>
      </c>
      <c r="G341" s="528" t="s">
        <v>2172</v>
      </c>
      <c r="H341" s="521" t="s">
        <v>285</v>
      </c>
      <c r="I341" s="521" t="s">
        <v>285</v>
      </c>
      <c r="J341" s="506" t="s">
        <v>287</v>
      </c>
      <c r="K341" s="522" t="str">
        <f aca="false">IF(J341=A341,"","nix")</f>
        <v/>
      </c>
    </row>
    <row r="342" customFormat="false" ht="15.75" hidden="false" customHeight="true" outlineLevel="0" collapsed="false">
      <c r="A342" s="561" t="s">
        <v>290</v>
      </c>
      <c r="B342" s="520" t="s">
        <v>2173</v>
      </c>
      <c r="C342" s="561" t="s">
        <v>2174</v>
      </c>
      <c r="D342" s="524" t="str">
        <f aca="false">A342&amp;" "&amp;HLOOKUP($C$1,$E$1:$V$4910,ROW(D342))</f>
        <v>ALB Albania </v>
      </c>
      <c r="E342" s="562" t="s">
        <v>2175</v>
      </c>
      <c r="F342" s="521" t="s">
        <v>2176</v>
      </c>
      <c r="G342" s="528" t="s">
        <v>2176</v>
      </c>
      <c r="H342" s="521" t="s">
        <v>288</v>
      </c>
      <c r="I342" s="521" t="s">
        <v>2177</v>
      </c>
      <c r="J342" s="506" t="s">
        <v>290</v>
      </c>
      <c r="K342" s="522" t="str">
        <f aca="false">IF(J342=A342,"","nix")</f>
        <v/>
      </c>
    </row>
    <row r="343" customFormat="false" ht="15.75" hidden="false" customHeight="true" outlineLevel="0" collapsed="false">
      <c r="A343" s="561" t="s">
        <v>292</v>
      </c>
      <c r="B343" s="520" t="s">
        <v>2178</v>
      </c>
      <c r="C343" s="561" t="s">
        <v>2179</v>
      </c>
      <c r="D343" s="524" t="str">
        <f aca="false">A343&amp;" "&amp;HLOOKUP($C$1,$E$1:$V$4910,ROW(D343))</f>
        <v>AND Andorra </v>
      </c>
      <c r="E343" s="562" t="s">
        <v>291</v>
      </c>
      <c r="F343" s="521" t="s">
        <v>2180</v>
      </c>
      <c r="G343" s="528" t="s">
        <v>2180</v>
      </c>
      <c r="H343" s="521" t="s">
        <v>291</v>
      </c>
      <c r="I343" s="521" t="s">
        <v>2181</v>
      </c>
      <c r="J343" s="506" t="s">
        <v>292</v>
      </c>
      <c r="K343" s="522" t="str">
        <f aca="false">IF(J343=A343,"","nix")</f>
        <v/>
      </c>
    </row>
    <row r="344" customFormat="false" ht="15.75" hidden="false" customHeight="true" outlineLevel="0" collapsed="false">
      <c r="A344" s="561" t="s">
        <v>294</v>
      </c>
      <c r="B344" s="520" t="s">
        <v>2182</v>
      </c>
      <c r="C344" s="561" t="s">
        <v>2183</v>
      </c>
      <c r="D344" s="524" t="str">
        <f aca="false">A344&amp;" "&amp;HLOOKUP($C$1,$E$1:$V$4910,ROW(D344))</f>
        <v>ARE United Arab Emirates </v>
      </c>
      <c r="E344" s="562" t="s">
        <v>2184</v>
      </c>
      <c r="F344" s="521" t="s">
        <v>2185</v>
      </c>
      <c r="G344" s="528" t="s">
        <v>2186</v>
      </c>
      <c r="H344" s="521" t="s">
        <v>2187</v>
      </c>
      <c r="I344" s="521" t="s">
        <v>2188</v>
      </c>
      <c r="J344" s="506" t="s">
        <v>294</v>
      </c>
      <c r="K344" s="522" t="str">
        <f aca="false">IF(J344=A344,"","nix")</f>
        <v/>
      </c>
    </row>
    <row r="345" customFormat="false" ht="15.75" hidden="false" customHeight="true" outlineLevel="0" collapsed="false">
      <c r="A345" s="561" t="s">
        <v>296</v>
      </c>
      <c r="B345" s="520" t="s">
        <v>2189</v>
      </c>
      <c r="C345" s="561" t="s">
        <v>2190</v>
      </c>
      <c r="D345" s="524" t="str">
        <f aca="false">A345&amp;" "&amp;HLOOKUP($C$1,$E$1:$V$4910,ROW(D345))</f>
        <v>ARG Argentina </v>
      </c>
      <c r="E345" s="562" t="s">
        <v>2191</v>
      </c>
      <c r="F345" s="521" t="s">
        <v>2192</v>
      </c>
      <c r="G345" s="528" t="s">
        <v>2192</v>
      </c>
      <c r="H345" s="521" t="s">
        <v>295</v>
      </c>
      <c r="I345" s="521" t="s">
        <v>2193</v>
      </c>
      <c r="J345" s="506" t="s">
        <v>296</v>
      </c>
      <c r="K345" s="522" t="str">
        <f aca="false">IF(J345=A345,"","nix")</f>
        <v/>
      </c>
    </row>
    <row r="346" customFormat="false" ht="15.75" hidden="false" customHeight="true" outlineLevel="0" collapsed="false">
      <c r="A346" s="561" t="s">
        <v>298</v>
      </c>
      <c r="B346" s="520" t="s">
        <v>2194</v>
      </c>
      <c r="C346" s="561" t="s">
        <v>2195</v>
      </c>
      <c r="D346" s="524" t="str">
        <f aca="false">A346&amp;" "&amp;HLOOKUP($C$1,$E$1:$V$4910,ROW(D346))</f>
        <v>ARM Armenia </v>
      </c>
      <c r="E346" s="562" t="s">
        <v>2196</v>
      </c>
      <c r="F346" s="521" t="s">
        <v>2197</v>
      </c>
      <c r="G346" s="528" t="s">
        <v>2197</v>
      </c>
      <c r="H346" s="521" t="s">
        <v>297</v>
      </c>
      <c r="I346" s="521" t="s">
        <v>2198</v>
      </c>
      <c r="J346" s="506" t="s">
        <v>298</v>
      </c>
      <c r="K346" s="522" t="str">
        <f aca="false">IF(J346=A346,"","nix")</f>
        <v/>
      </c>
    </row>
    <row r="347" customFormat="false" ht="15.75" hidden="false" customHeight="true" outlineLevel="0" collapsed="false">
      <c r="A347" s="561" t="s">
        <v>301</v>
      </c>
      <c r="B347" s="520" t="s">
        <v>2199</v>
      </c>
      <c r="C347" s="561" t="s">
        <v>2200</v>
      </c>
      <c r="D347" s="524" t="str">
        <f aca="false">A347&amp;" "&amp;HLOOKUP($C$1,$E$1:$V$4910,ROW(D347))</f>
        <v>ASM American Samoa </v>
      </c>
      <c r="E347" s="562" t="s">
        <v>2201</v>
      </c>
      <c r="F347" s="521" t="s">
        <v>2202</v>
      </c>
      <c r="G347" s="528" t="s">
        <v>2203</v>
      </c>
      <c r="H347" s="521" t="s">
        <v>2204</v>
      </c>
      <c r="I347" s="521" t="s">
        <v>2205</v>
      </c>
      <c r="J347" s="506" t="s">
        <v>301</v>
      </c>
      <c r="K347" s="522" t="str">
        <f aca="false">IF(J347=A347,"","nix")</f>
        <v/>
      </c>
    </row>
    <row r="348" customFormat="false" ht="15.75" hidden="false" customHeight="true" outlineLevel="0" collapsed="false">
      <c r="A348" s="561" t="s">
        <v>303</v>
      </c>
      <c r="B348" s="520" t="s">
        <v>2206</v>
      </c>
      <c r="C348" s="561" t="s">
        <v>2207</v>
      </c>
      <c r="D348" s="524" t="str">
        <f aca="false">A348&amp;" "&amp;HLOOKUP($C$1,$E$1:$V$4910,ROW(D348))</f>
        <v>ATG Antigua and Barbuda </v>
      </c>
      <c r="E348" s="562" t="s">
        <v>2208</v>
      </c>
      <c r="F348" s="521" t="s">
        <v>2209</v>
      </c>
      <c r="G348" s="528" t="s">
        <v>2210</v>
      </c>
      <c r="H348" s="521" t="s">
        <v>2211</v>
      </c>
      <c r="I348" s="521" t="s">
        <v>2212</v>
      </c>
      <c r="J348" s="506" t="s">
        <v>303</v>
      </c>
      <c r="K348" s="522" t="str">
        <f aca="false">IF(J348=A348,"","nix")</f>
        <v/>
      </c>
    </row>
    <row r="349" customFormat="false" ht="15.75" hidden="false" customHeight="true" outlineLevel="0" collapsed="false">
      <c r="A349" s="561" t="s">
        <v>305</v>
      </c>
      <c r="B349" s="520" t="s">
        <v>2213</v>
      </c>
      <c r="C349" s="561" t="s">
        <v>2214</v>
      </c>
      <c r="D349" s="524" t="str">
        <f aca="false">A349&amp;" "&amp;HLOOKUP($C$1,$E$1:$V$4910,ROW(D349))</f>
        <v>AUS Australia </v>
      </c>
      <c r="E349" s="562" t="s">
        <v>2215</v>
      </c>
      <c r="F349" s="521" t="s">
        <v>2216</v>
      </c>
      <c r="G349" s="528" t="s">
        <v>2216</v>
      </c>
      <c r="H349" s="521" t="s">
        <v>304</v>
      </c>
      <c r="I349" s="521" t="s">
        <v>2217</v>
      </c>
      <c r="J349" s="506" t="s">
        <v>305</v>
      </c>
      <c r="K349" s="522" t="str">
        <f aca="false">IF(J349=A349,"","nix")</f>
        <v/>
      </c>
    </row>
    <row r="350" customFormat="false" ht="15.75" hidden="false" customHeight="true" outlineLevel="0" collapsed="false">
      <c r="A350" s="561" t="s">
        <v>307</v>
      </c>
      <c r="B350" s="520" t="s">
        <v>2218</v>
      </c>
      <c r="C350" s="561" t="s">
        <v>2219</v>
      </c>
      <c r="D350" s="524" t="str">
        <f aca="false">A350&amp;" "&amp;HLOOKUP($C$1,$E$1:$V$4910,ROW(D350))</f>
        <v>AUT Austria </v>
      </c>
      <c r="E350" s="562" t="s">
        <v>2220</v>
      </c>
      <c r="F350" s="521" t="s">
        <v>2221</v>
      </c>
      <c r="G350" s="528" t="s">
        <v>2221</v>
      </c>
      <c r="H350" s="521" t="s">
        <v>306</v>
      </c>
      <c r="I350" s="521" t="s">
        <v>2222</v>
      </c>
      <c r="J350" s="506" t="s">
        <v>307</v>
      </c>
      <c r="K350" s="522" t="str">
        <f aca="false">IF(J350=A350,"","nix")</f>
        <v/>
      </c>
    </row>
    <row r="351" customFormat="false" ht="15.75" hidden="false" customHeight="true" outlineLevel="0" collapsed="false">
      <c r="A351" s="561" t="s">
        <v>309</v>
      </c>
      <c r="B351" s="520" t="s">
        <v>2223</v>
      </c>
      <c r="C351" s="561" t="s">
        <v>2224</v>
      </c>
      <c r="D351" s="524" t="str">
        <f aca="false">A351&amp;" "&amp;HLOOKUP($C$1,$E$1:$V$4910,ROW(D351))</f>
        <v>AZE Azerbaijan </v>
      </c>
      <c r="E351" s="562" t="s">
        <v>2225</v>
      </c>
      <c r="F351" s="521" t="s">
        <v>2226</v>
      </c>
      <c r="G351" s="528" t="s">
        <v>2227</v>
      </c>
      <c r="H351" s="521" t="s">
        <v>2228</v>
      </c>
      <c r="I351" s="521" t="s">
        <v>2229</v>
      </c>
      <c r="J351" s="506" t="s">
        <v>309</v>
      </c>
      <c r="K351" s="522" t="str">
        <f aca="false">IF(J351=A351,"","nix")</f>
        <v/>
      </c>
    </row>
    <row r="352" customFormat="false" ht="15.75" hidden="false" customHeight="true" outlineLevel="0" collapsed="false">
      <c r="A352" s="561" t="s">
        <v>311</v>
      </c>
      <c r="B352" s="520" t="s">
        <v>2230</v>
      </c>
      <c r="C352" s="561" t="s">
        <v>2231</v>
      </c>
      <c r="D352" s="524" t="str">
        <f aca="false">A352&amp;" "&amp;HLOOKUP($C$1,$E$1:$V$4910,ROW(D352))</f>
        <v>BDI Burundi </v>
      </c>
      <c r="E352" s="562" t="s">
        <v>310</v>
      </c>
      <c r="F352" s="521" t="s">
        <v>2232</v>
      </c>
      <c r="G352" s="528" t="s">
        <v>2232</v>
      </c>
      <c r="H352" s="521" t="s">
        <v>310</v>
      </c>
      <c r="I352" s="521" t="s">
        <v>310</v>
      </c>
      <c r="J352" s="506" t="s">
        <v>311</v>
      </c>
      <c r="K352" s="522" t="str">
        <f aca="false">IF(J352=A352,"","nix")</f>
        <v/>
      </c>
    </row>
    <row r="353" customFormat="false" ht="15.75" hidden="false" customHeight="true" outlineLevel="0" collapsed="false">
      <c r="A353" s="561" t="s">
        <v>313</v>
      </c>
      <c r="B353" s="520" t="s">
        <v>2233</v>
      </c>
      <c r="C353" s="561" t="s">
        <v>2234</v>
      </c>
      <c r="D353" s="524" t="str">
        <f aca="false">A353&amp;" "&amp;HLOOKUP($C$1,$E$1:$V$4910,ROW(D353))</f>
        <v>BEL Belgium </v>
      </c>
      <c r="E353" s="562" t="s">
        <v>2235</v>
      </c>
      <c r="F353" s="521" t="s">
        <v>2236</v>
      </c>
      <c r="G353" s="528" t="s">
        <v>2237</v>
      </c>
      <c r="H353" s="521" t="s">
        <v>2238</v>
      </c>
      <c r="I353" s="521" t="s">
        <v>2239</v>
      </c>
      <c r="J353" s="506" t="s">
        <v>313</v>
      </c>
      <c r="K353" s="522" t="str">
        <f aca="false">IF(J353=A353,"","nix")</f>
        <v/>
      </c>
    </row>
    <row r="354" customFormat="false" ht="15.75" hidden="false" customHeight="true" outlineLevel="0" collapsed="false">
      <c r="A354" s="561" t="s">
        <v>315</v>
      </c>
      <c r="B354" s="520" t="s">
        <v>2240</v>
      </c>
      <c r="C354" s="561" t="s">
        <v>2241</v>
      </c>
      <c r="D354" s="524" t="str">
        <f aca="false">A354&amp;" "&amp;HLOOKUP($C$1,$E$1:$V$4910,ROW(D354))</f>
        <v>BEN Benin </v>
      </c>
      <c r="E354" s="562" t="s">
        <v>314</v>
      </c>
      <c r="F354" s="521" t="s">
        <v>2242</v>
      </c>
      <c r="G354" s="528" t="s">
        <v>2242</v>
      </c>
      <c r="H354" s="521" t="s">
        <v>2243</v>
      </c>
      <c r="I354" s="521" t="s">
        <v>2244</v>
      </c>
      <c r="J354" s="506" t="s">
        <v>315</v>
      </c>
      <c r="K354" s="522" t="str">
        <f aca="false">IF(J354=A354,"","nix")</f>
        <v/>
      </c>
    </row>
    <row r="355" customFormat="false" ht="15.75" hidden="false" customHeight="true" outlineLevel="0" collapsed="false">
      <c r="A355" s="561" t="s">
        <v>317</v>
      </c>
      <c r="B355" s="520" t="s">
        <v>2245</v>
      </c>
      <c r="C355" s="561" t="s">
        <v>2246</v>
      </c>
      <c r="D355" s="524" t="str">
        <f aca="false">A355&amp;" "&amp;HLOOKUP($C$1,$E$1:$V$4910,ROW(D355))</f>
        <v>BFA Burkina Faso </v>
      </c>
      <c r="E355" s="562" t="s">
        <v>316</v>
      </c>
      <c r="F355" s="521" t="s">
        <v>2247</v>
      </c>
      <c r="G355" s="528" t="s">
        <v>2247</v>
      </c>
      <c r="H355" s="521" t="s">
        <v>316</v>
      </c>
      <c r="I355" s="521" t="s">
        <v>316</v>
      </c>
      <c r="J355" s="506" t="s">
        <v>317</v>
      </c>
      <c r="K355" s="522" t="str">
        <f aca="false">IF(J355=A355,"","nix")</f>
        <v/>
      </c>
    </row>
    <row r="356" customFormat="false" ht="15.75" hidden="false" customHeight="true" outlineLevel="0" collapsed="false">
      <c r="A356" s="561" t="s">
        <v>319</v>
      </c>
      <c r="B356" s="520" t="s">
        <v>2248</v>
      </c>
      <c r="C356" s="561" t="s">
        <v>2249</v>
      </c>
      <c r="D356" s="524" t="str">
        <f aca="false">A356&amp;" "&amp;HLOOKUP($C$1,$E$1:$V$4910,ROW(D356))</f>
        <v>BGD Bangladesh </v>
      </c>
      <c r="E356" s="562" t="s">
        <v>2250</v>
      </c>
      <c r="F356" s="521" t="s">
        <v>2251</v>
      </c>
      <c r="G356" s="528" t="s">
        <v>2251</v>
      </c>
      <c r="H356" s="521" t="s">
        <v>2252</v>
      </c>
      <c r="I356" s="521" t="s">
        <v>318</v>
      </c>
      <c r="J356" s="506" t="s">
        <v>319</v>
      </c>
      <c r="K356" s="522" t="str">
        <f aca="false">IF(J356=A356,"","nix")</f>
        <v/>
      </c>
    </row>
    <row r="357" customFormat="false" ht="15.75" hidden="false" customHeight="true" outlineLevel="0" collapsed="false">
      <c r="A357" s="561" t="s">
        <v>321</v>
      </c>
      <c r="B357" s="520" t="s">
        <v>2253</v>
      </c>
      <c r="C357" s="561" t="s">
        <v>2254</v>
      </c>
      <c r="D357" s="524" t="str">
        <f aca="false">A357&amp;" "&amp;HLOOKUP($C$1,$E$1:$V$4910,ROW(D357))</f>
        <v>BGR Bulgaria </v>
      </c>
      <c r="E357" s="562" t="s">
        <v>2255</v>
      </c>
      <c r="F357" s="521" t="s">
        <v>2256</v>
      </c>
      <c r="G357" s="528" t="s">
        <v>2256</v>
      </c>
      <c r="H357" s="521" t="s">
        <v>320</v>
      </c>
      <c r="I357" s="521" t="s">
        <v>2257</v>
      </c>
      <c r="J357" s="506" t="s">
        <v>321</v>
      </c>
      <c r="K357" s="522" t="str">
        <f aca="false">IF(J357=A357,"","nix")</f>
        <v/>
      </c>
    </row>
    <row r="358" customFormat="false" ht="15.75" hidden="false" customHeight="true" outlineLevel="0" collapsed="false">
      <c r="A358" s="561" t="s">
        <v>323</v>
      </c>
      <c r="B358" s="520" t="s">
        <v>2258</v>
      </c>
      <c r="C358" s="561" t="s">
        <v>2259</v>
      </c>
      <c r="D358" s="524" t="str">
        <f aca="false">A358&amp;" "&amp;HLOOKUP($C$1,$E$1:$V$4910,ROW(D358))</f>
        <v>BHR Bahrain </v>
      </c>
      <c r="E358" s="562" t="s">
        <v>322</v>
      </c>
      <c r="F358" s="521" t="s">
        <v>2260</v>
      </c>
      <c r="G358" s="528" t="s">
        <v>2260</v>
      </c>
      <c r="H358" s="521" t="s">
        <v>2261</v>
      </c>
      <c r="I358" s="521" t="s">
        <v>2262</v>
      </c>
      <c r="J358" s="506" t="s">
        <v>323</v>
      </c>
      <c r="K358" s="522" t="str">
        <f aca="false">IF(J358=A358,"","nix")</f>
        <v/>
      </c>
    </row>
    <row r="359" customFormat="false" ht="15.75" hidden="false" customHeight="true" outlineLevel="0" collapsed="false">
      <c r="A359" s="561" t="s">
        <v>325</v>
      </c>
      <c r="B359" s="520" t="s">
        <v>2263</v>
      </c>
      <c r="C359" s="561" t="s">
        <v>2264</v>
      </c>
      <c r="D359" s="524" t="str">
        <f aca="false">A359&amp;" "&amp;HLOOKUP($C$1,$E$1:$V$4910,ROW(D359))</f>
        <v>BHS Bahamas </v>
      </c>
      <c r="E359" s="562" t="s">
        <v>2265</v>
      </c>
      <c r="F359" s="521" t="s">
        <v>2266</v>
      </c>
      <c r="G359" s="528" t="s">
        <v>2266</v>
      </c>
      <c r="H359" s="521" t="s">
        <v>2265</v>
      </c>
      <c r="I359" s="521" t="s">
        <v>2265</v>
      </c>
      <c r="J359" s="506" t="s">
        <v>325</v>
      </c>
      <c r="K359" s="522" t="str">
        <f aca="false">IF(J359=A359,"","nix")</f>
        <v/>
      </c>
    </row>
    <row r="360" customFormat="false" ht="15.75" hidden="false" customHeight="true" outlineLevel="0" collapsed="false">
      <c r="A360" s="561" t="s">
        <v>327</v>
      </c>
      <c r="B360" s="520" t="s">
        <v>2267</v>
      </c>
      <c r="C360" s="561" t="s">
        <v>2268</v>
      </c>
      <c r="D360" s="524" t="str">
        <f aca="false">A360&amp;" "&amp;HLOOKUP($C$1,$E$1:$V$4910,ROW(D360))</f>
        <v>BIH Bosnia and Herzegovina </v>
      </c>
      <c r="E360" s="562" t="s">
        <v>2269</v>
      </c>
      <c r="F360" s="521" t="s">
        <v>2270</v>
      </c>
      <c r="G360" s="528" t="s">
        <v>2271</v>
      </c>
      <c r="H360" s="521" t="s">
        <v>2272</v>
      </c>
      <c r="I360" s="521" t="s">
        <v>2273</v>
      </c>
      <c r="J360" s="506" t="s">
        <v>327</v>
      </c>
      <c r="K360" s="522" t="str">
        <f aca="false">IF(J360=A360,"","nix")</f>
        <v/>
      </c>
    </row>
    <row r="361" customFormat="false" ht="15.75" hidden="false" customHeight="true" outlineLevel="0" collapsed="false">
      <c r="A361" s="561" t="s">
        <v>329</v>
      </c>
      <c r="B361" s="520" t="s">
        <v>2274</v>
      </c>
      <c r="C361" s="561" t="s">
        <v>2275</v>
      </c>
      <c r="D361" s="524" t="str">
        <f aca="false">A361&amp;" "&amp;HLOOKUP($C$1,$E$1:$V$4910,ROW(D361))</f>
        <v>BLR Belarus </v>
      </c>
      <c r="E361" s="562" t="s">
        <v>328</v>
      </c>
      <c r="F361" s="521" t="s">
        <v>2276</v>
      </c>
      <c r="G361" s="528" t="s">
        <v>2277</v>
      </c>
      <c r="H361" s="521" t="s">
        <v>2278</v>
      </c>
      <c r="I361" s="521" t="s">
        <v>2279</v>
      </c>
      <c r="J361" s="506" t="s">
        <v>329</v>
      </c>
      <c r="K361" s="522" t="str">
        <f aca="false">IF(J361=A361,"","nix")</f>
        <v/>
      </c>
    </row>
    <row r="362" customFormat="false" ht="15.75" hidden="false" customHeight="true" outlineLevel="0" collapsed="false">
      <c r="A362" s="561" t="s">
        <v>331</v>
      </c>
      <c r="B362" s="520" t="s">
        <v>2280</v>
      </c>
      <c r="C362" s="561" t="s">
        <v>2281</v>
      </c>
      <c r="D362" s="524" t="str">
        <f aca="false">A362&amp;" "&amp;HLOOKUP($C$1,$E$1:$V$4910,ROW(D362))</f>
        <v>BLZ Belize </v>
      </c>
      <c r="E362" s="562" t="s">
        <v>330</v>
      </c>
      <c r="F362" s="521" t="s">
        <v>2282</v>
      </c>
      <c r="G362" s="528" t="s">
        <v>2282</v>
      </c>
      <c r="H362" s="521" t="s">
        <v>2283</v>
      </c>
      <c r="I362" s="521" t="s">
        <v>330</v>
      </c>
      <c r="J362" s="506" t="s">
        <v>331</v>
      </c>
      <c r="K362" s="522" t="str">
        <f aca="false">IF(J362=A362,"","nix")</f>
        <v/>
      </c>
    </row>
    <row r="363" customFormat="false" ht="15.75" hidden="false" customHeight="true" outlineLevel="0" collapsed="false">
      <c r="A363" s="561" t="s">
        <v>333</v>
      </c>
      <c r="B363" s="520" t="s">
        <v>2284</v>
      </c>
      <c r="C363" s="561" t="s">
        <v>2285</v>
      </c>
      <c r="D363" s="524" t="str">
        <f aca="false">A363&amp;" "&amp;HLOOKUP($C$1,$E$1:$V$4910,ROW(D363))</f>
        <v>BMU Bermuda </v>
      </c>
      <c r="E363" s="562" t="s">
        <v>332</v>
      </c>
      <c r="F363" s="521" t="s">
        <v>2286</v>
      </c>
      <c r="G363" s="528" t="s">
        <v>2286</v>
      </c>
      <c r="H363" s="521" t="s">
        <v>2287</v>
      </c>
      <c r="I363" s="521" t="s">
        <v>2288</v>
      </c>
      <c r="J363" s="506" t="s">
        <v>333</v>
      </c>
      <c r="K363" s="522" t="str">
        <f aca="false">IF(J363=A363,"","nix")</f>
        <v/>
      </c>
    </row>
    <row r="364" customFormat="false" ht="15.75" hidden="false" customHeight="true" outlineLevel="0" collapsed="false">
      <c r="A364" s="561" t="s">
        <v>335</v>
      </c>
      <c r="B364" s="520" t="s">
        <v>2289</v>
      </c>
      <c r="C364" s="561" t="s">
        <v>2290</v>
      </c>
      <c r="D364" s="524" t="str">
        <f aca="false">A364&amp;" "&amp;HLOOKUP($C$1,$E$1:$V$4910,ROW(D364))</f>
        <v>BOL Bolivia, Plurinational State of </v>
      </c>
      <c r="E364" s="562" t="s">
        <v>2291</v>
      </c>
      <c r="F364" s="521" t="s">
        <v>2292</v>
      </c>
      <c r="G364" s="528" t="s">
        <v>2293</v>
      </c>
      <c r="H364" s="521" t="s">
        <v>334</v>
      </c>
      <c r="I364" s="521" t="s">
        <v>2294</v>
      </c>
      <c r="J364" s="506" t="s">
        <v>335</v>
      </c>
      <c r="K364" s="522" t="str">
        <f aca="false">IF(J364=A364,"","nix")</f>
        <v/>
      </c>
    </row>
    <row r="365" customFormat="false" ht="15.75" hidden="false" customHeight="true" outlineLevel="0" collapsed="false">
      <c r="A365" s="561" t="s">
        <v>337</v>
      </c>
      <c r="B365" s="520" t="s">
        <v>2295</v>
      </c>
      <c r="C365" s="561" t="s">
        <v>2296</v>
      </c>
      <c r="D365" s="524" t="str">
        <f aca="false">A365&amp;" "&amp;HLOOKUP($C$1,$E$1:$V$4910,ROW(D365))</f>
        <v>BRA Brazil </v>
      </c>
      <c r="E365" s="562" t="s">
        <v>2297</v>
      </c>
      <c r="F365" s="521" t="s">
        <v>2298</v>
      </c>
      <c r="G365" s="528" t="s">
        <v>2299</v>
      </c>
      <c r="H365" s="521" t="s">
        <v>2300</v>
      </c>
      <c r="I365" s="521" t="s">
        <v>2301</v>
      </c>
      <c r="J365" s="506" t="s">
        <v>337</v>
      </c>
      <c r="K365" s="522" t="str">
        <f aca="false">IF(J365=A365,"","nix")</f>
        <v/>
      </c>
    </row>
    <row r="366" customFormat="false" ht="15.75" hidden="false" customHeight="true" outlineLevel="0" collapsed="false">
      <c r="A366" s="561" t="s">
        <v>339</v>
      </c>
      <c r="B366" s="520" t="s">
        <v>2302</v>
      </c>
      <c r="C366" s="561" t="s">
        <v>2303</v>
      </c>
      <c r="D366" s="524" t="str">
        <f aca="false">A366&amp;" "&amp;HLOOKUP($C$1,$E$1:$V$4910,ROW(D366))</f>
        <v>BRB Barbados </v>
      </c>
      <c r="E366" s="562" t="s">
        <v>338</v>
      </c>
      <c r="F366" s="521" t="s">
        <v>2304</v>
      </c>
      <c r="G366" s="528" t="s">
        <v>2304</v>
      </c>
      <c r="H366" s="521" t="s">
        <v>338</v>
      </c>
      <c r="I366" s="521" t="s">
        <v>2305</v>
      </c>
      <c r="J366" s="506" t="s">
        <v>339</v>
      </c>
      <c r="K366" s="522" t="str">
        <f aca="false">IF(J366=A366,"","nix")</f>
        <v/>
      </c>
    </row>
    <row r="367" customFormat="false" ht="15.75" hidden="false" customHeight="true" outlineLevel="0" collapsed="false">
      <c r="A367" s="561" t="s">
        <v>341</v>
      </c>
      <c r="B367" s="520" t="s">
        <v>2306</v>
      </c>
      <c r="C367" s="561" t="s">
        <v>2307</v>
      </c>
      <c r="D367" s="524" t="str">
        <f aca="false">A367&amp;" "&amp;HLOOKUP($C$1,$E$1:$V$4910,ROW(D367))</f>
        <v>BRN Brunei Darussalam </v>
      </c>
      <c r="E367" s="562" t="s">
        <v>340</v>
      </c>
      <c r="F367" s="521" t="s">
        <v>2308</v>
      </c>
      <c r="G367" s="528" t="s">
        <v>2309</v>
      </c>
      <c r="H367" s="521" t="s">
        <v>2310</v>
      </c>
      <c r="I367" s="521" t="s">
        <v>2311</v>
      </c>
      <c r="J367" s="506" t="s">
        <v>341</v>
      </c>
      <c r="K367" s="522" t="str">
        <f aca="false">IF(J367=A367,"","nix")</f>
        <v/>
      </c>
    </row>
    <row r="368" customFormat="false" ht="15.75" hidden="false" customHeight="true" outlineLevel="0" collapsed="false">
      <c r="A368" s="561" t="s">
        <v>343</v>
      </c>
      <c r="B368" s="520" t="s">
        <v>2312</v>
      </c>
      <c r="C368" s="561" t="s">
        <v>2313</v>
      </c>
      <c r="D368" s="524" t="str">
        <f aca="false">A368&amp;" "&amp;HLOOKUP($C$1,$E$1:$V$4910,ROW(D368))</f>
        <v>BTN Bhutan </v>
      </c>
      <c r="E368" s="562" t="s">
        <v>342</v>
      </c>
      <c r="F368" s="521" t="s">
        <v>2314</v>
      </c>
      <c r="G368" s="528" t="s">
        <v>2314</v>
      </c>
      <c r="H368" s="521" t="s">
        <v>2315</v>
      </c>
      <c r="I368" s="521" t="s">
        <v>2316</v>
      </c>
      <c r="J368" s="506" t="s">
        <v>343</v>
      </c>
      <c r="K368" s="522" t="str">
        <f aca="false">IF(J368=A368,"","nix")</f>
        <v/>
      </c>
    </row>
    <row r="369" customFormat="false" ht="15.75" hidden="false" customHeight="true" outlineLevel="0" collapsed="false">
      <c r="A369" s="561" t="s">
        <v>345</v>
      </c>
      <c r="B369" s="520" t="s">
        <v>2317</v>
      </c>
      <c r="C369" s="561" t="s">
        <v>2318</v>
      </c>
      <c r="D369" s="524" t="str">
        <f aca="false">A369&amp;" "&amp;HLOOKUP($C$1,$E$1:$V$4910,ROW(D369))</f>
        <v>BWA Botswana </v>
      </c>
      <c r="E369" s="562" t="s">
        <v>344</v>
      </c>
      <c r="F369" s="521" t="s">
        <v>2319</v>
      </c>
      <c r="G369" s="528" t="s">
        <v>2319</v>
      </c>
      <c r="H369" s="521" t="s">
        <v>2320</v>
      </c>
      <c r="I369" s="521" t="s">
        <v>344</v>
      </c>
      <c r="J369" s="506" t="s">
        <v>345</v>
      </c>
      <c r="K369" s="522" t="str">
        <f aca="false">IF(J369=A369,"","nix")</f>
        <v/>
      </c>
    </row>
    <row r="370" customFormat="false" ht="15.75" hidden="false" customHeight="true" outlineLevel="0" collapsed="false">
      <c r="A370" s="561" t="s">
        <v>347</v>
      </c>
      <c r="B370" s="520" t="s">
        <v>2321</v>
      </c>
      <c r="C370" s="561" t="s">
        <v>2322</v>
      </c>
      <c r="D370" s="524" t="str">
        <f aca="false">A370&amp;" "&amp;HLOOKUP($C$1,$E$1:$V$4910,ROW(D370))</f>
        <v>CAF Central African Republic </v>
      </c>
      <c r="E370" s="562" t="s">
        <v>2323</v>
      </c>
      <c r="F370" s="521" t="s">
        <v>2324</v>
      </c>
      <c r="G370" s="528" t="s">
        <v>2325</v>
      </c>
      <c r="H370" s="521" t="s">
        <v>2326</v>
      </c>
      <c r="I370" s="521" t="s">
        <v>2327</v>
      </c>
      <c r="J370" s="506" t="s">
        <v>347</v>
      </c>
      <c r="K370" s="522" t="str">
        <f aca="false">IF(J370=A370,"","nix")</f>
        <v/>
      </c>
    </row>
    <row r="371" customFormat="false" ht="15.75" hidden="false" customHeight="true" outlineLevel="0" collapsed="false">
      <c r="A371" s="561" t="s">
        <v>349</v>
      </c>
      <c r="B371" s="520" t="s">
        <v>2328</v>
      </c>
      <c r="C371" s="561" t="s">
        <v>2329</v>
      </c>
      <c r="D371" s="524" t="str">
        <f aca="false">A371&amp;" "&amp;HLOOKUP($C$1,$E$1:$V$4910,ROW(D371))</f>
        <v>CAN Canada </v>
      </c>
      <c r="E371" s="562" t="s">
        <v>2330</v>
      </c>
      <c r="F371" s="521" t="s">
        <v>2331</v>
      </c>
      <c r="G371" s="528" t="s">
        <v>2331</v>
      </c>
      <c r="H371" s="521" t="s">
        <v>2332</v>
      </c>
      <c r="I371" s="521" t="s">
        <v>348</v>
      </c>
      <c r="J371" s="506" t="s">
        <v>349</v>
      </c>
      <c r="K371" s="522" t="str">
        <f aca="false">IF(J371=A371,"","nix")</f>
        <v/>
      </c>
    </row>
    <row r="372" customFormat="false" ht="15.75" hidden="false" customHeight="true" outlineLevel="0" collapsed="false">
      <c r="A372" s="561" t="s">
        <v>351</v>
      </c>
      <c r="B372" s="520" t="s">
        <v>2333</v>
      </c>
      <c r="C372" s="561" t="s">
        <v>2334</v>
      </c>
      <c r="D372" s="524" t="str">
        <f aca="false">A372&amp;" "&amp;HLOOKUP($C$1,$E$1:$V$4910,ROW(D372))</f>
        <v>CHE Switzerland </v>
      </c>
      <c r="E372" s="562" t="s">
        <v>2335</v>
      </c>
      <c r="F372" s="521" t="s">
        <v>2336</v>
      </c>
      <c r="G372" s="528" t="s">
        <v>2337</v>
      </c>
      <c r="H372" s="521" t="s">
        <v>2338</v>
      </c>
      <c r="I372" s="521" t="s">
        <v>2339</v>
      </c>
      <c r="J372" s="506" t="s">
        <v>351</v>
      </c>
      <c r="K372" s="522" t="str">
        <f aca="false">IF(J372=A372,"","nix")</f>
        <v/>
      </c>
    </row>
    <row r="373" customFormat="false" ht="15.75" hidden="false" customHeight="true" outlineLevel="0" collapsed="false">
      <c r="A373" s="561" t="s">
        <v>353</v>
      </c>
      <c r="B373" s="520" t="s">
        <v>2340</v>
      </c>
      <c r="C373" s="561" t="s">
        <v>2341</v>
      </c>
      <c r="D373" s="524" t="str">
        <f aca="false">A373&amp;" "&amp;HLOOKUP($C$1,$E$1:$V$4910,ROW(D373))</f>
        <v>CHL Chile </v>
      </c>
      <c r="E373" s="562" t="s">
        <v>352</v>
      </c>
      <c r="F373" s="521" t="s">
        <v>2342</v>
      </c>
      <c r="G373" s="528" t="s">
        <v>2343</v>
      </c>
      <c r="H373" s="521" t="s">
        <v>352</v>
      </c>
      <c r="I373" s="521" t="s">
        <v>2344</v>
      </c>
      <c r="J373" s="506" t="s">
        <v>353</v>
      </c>
      <c r="K373" s="522" t="str">
        <f aca="false">IF(J373=A373,"","nix")</f>
        <v/>
      </c>
    </row>
    <row r="374" customFormat="false" ht="15.75" hidden="false" customHeight="true" outlineLevel="0" collapsed="false">
      <c r="A374" s="561" t="s">
        <v>355</v>
      </c>
      <c r="B374" s="520" t="s">
        <v>2345</v>
      </c>
      <c r="C374" s="561" t="s">
        <v>2346</v>
      </c>
      <c r="D374" s="524" t="str">
        <f aca="false">A374&amp;" "&amp;HLOOKUP($C$1,$E$1:$V$4910,ROW(D374))</f>
        <v>CHN China </v>
      </c>
      <c r="E374" s="562" t="s">
        <v>2347</v>
      </c>
      <c r="F374" s="521" t="s">
        <v>2348</v>
      </c>
      <c r="G374" s="528" t="s">
        <v>2349</v>
      </c>
      <c r="H374" s="521" t="s">
        <v>354</v>
      </c>
      <c r="I374" s="521" t="s">
        <v>2350</v>
      </c>
      <c r="J374" s="506" t="s">
        <v>355</v>
      </c>
      <c r="K374" s="522" t="str">
        <f aca="false">IF(J374=A374,"","nix")</f>
        <v/>
      </c>
    </row>
    <row r="375" customFormat="false" ht="15.75" hidden="false" customHeight="true" outlineLevel="0" collapsed="false">
      <c r="A375" s="561" t="s">
        <v>357</v>
      </c>
      <c r="B375" s="520" t="s">
        <v>2351</v>
      </c>
      <c r="C375" s="561" t="s">
        <v>2352</v>
      </c>
      <c r="D375" s="524" t="str">
        <f aca="false">A375&amp;" "&amp;HLOOKUP($C$1,$E$1:$V$4910,ROW(D375))</f>
        <v>CIV Côte d'Ivoire </v>
      </c>
      <c r="E375" s="562" t="s">
        <v>2353</v>
      </c>
      <c r="F375" s="521" t="s">
        <v>2354</v>
      </c>
      <c r="G375" s="528" t="s">
        <v>2355</v>
      </c>
      <c r="H375" s="521" t="s">
        <v>2356</v>
      </c>
      <c r="I375" s="521" t="s">
        <v>2357</v>
      </c>
      <c r="J375" s="506" t="s">
        <v>357</v>
      </c>
      <c r="K375" s="522" t="str">
        <f aca="false">IF(J375=A375,"","nix")</f>
        <v/>
      </c>
    </row>
    <row r="376" customFormat="false" ht="15.75" hidden="false" customHeight="true" outlineLevel="0" collapsed="false">
      <c r="A376" s="561" t="s">
        <v>359</v>
      </c>
      <c r="B376" s="520" t="s">
        <v>2358</v>
      </c>
      <c r="C376" s="561" t="s">
        <v>2359</v>
      </c>
      <c r="D376" s="524" t="str">
        <f aca="false">A376&amp;" "&amp;HLOOKUP($C$1,$E$1:$V$4910,ROW(D376))</f>
        <v>CMR Cameroon </v>
      </c>
      <c r="E376" s="562" t="s">
        <v>2360</v>
      </c>
      <c r="F376" s="521" t="s">
        <v>2361</v>
      </c>
      <c r="G376" s="528" t="s">
        <v>2362</v>
      </c>
      <c r="H376" s="521" t="s">
        <v>2363</v>
      </c>
      <c r="I376" s="521" t="s">
        <v>2364</v>
      </c>
      <c r="J376" s="506" t="s">
        <v>359</v>
      </c>
      <c r="K376" s="522" t="str">
        <f aca="false">IF(J376=A376,"","nix")</f>
        <v/>
      </c>
    </row>
    <row r="377" customFormat="false" ht="15.75" hidden="false" customHeight="true" outlineLevel="0" collapsed="false">
      <c r="A377" s="561" t="s">
        <v>361</v>
      </c>
      <c r="B377" s="520" t="s">
        <v>2365</v>
      </c>
      <c r="C377" s="561" t="s">
        <v>2366</v>
      </c>
      <c r="D377" s="524" t="str">
        <f aca="false">A377&amp;" "&amp;HLOOKUP($C$1,$E$1:$V$4910,ROW(D377))</f>
        <v>COD Congo, the Democratic Republic of the </v>
      </c>
      <c r="E377" s="562" t="s">
        <v>2367</v>
      </c>
      <c r="F377" s="521" t="s">
        <v>2368</v>
      </c>
      <c r="G377" s="528" t="s">
        <v>2369</v>
      </c>
      <c r="H377" s="521" t="s">
        <v>2370</v>
      </c>
      <c r="I377" s="521" t="s">
        <v>2371</v>
      </c>
      <c r="J377" s="506" t="s">
        <v>361</v>
      </c>
      <c r="K377" s="522" t="str">
        <f aca="false">IF(J377=A377,"","nix")</f>
        <v/>
      </c>
    </row>
    <row r="378" customFormat="false" ht="15.75" hidden="false" customHeight="true" outlineLevel="0" collapsed="false">
      <c r="A378" s="561" t="s">
        <v>363</v>
      </c>
      <c r="B378" s="520" t="s">
        <v>2372</v>
      </c>
      <c r="C378" s="561" t="s">
        <v>2373</v>
      </c>
      <c r="D378" s="524" t="str">
        <f aca="false">A378&amp;" "&amp;HLOOKUP($C$1,$E$1:$V$4910,ROW(D378))</f>
        <v>COG Congo </v>
      </c>
      <c r="E378" s="562" t="s">
        <v>2374</v>
      </c>
      <c r="F378" s="521" t="s">
        <v>2375</v>
      </c>
      <c r="G378" s="528" t="s">
        <v>2376</v>
      </c>
      <c r="H378" s="521" t="s">
        <v>2377</v>
      </c>
      <c r="I378" s="521" t="s">
        <v>2378</v>
      </c>
      <c r="J378" s="506" t="s">
        <v>363</v>
      </c>
      <c r="K378" s="522" t="str">
        <f aca="false">IF(J378=A378,"","nix")</f>
        <v/>
      </c>
    </row>
    <row r="379" customFormat="false" ht="15.75" hidden="false" customHeight="true" outlineLevel="0" collapsed="false">
      <c r="A379" s="561" t="s">
        <v>365</v>
      </c>
      <c r="B379" s="520" t="s">
        <v>2379</v>
      </c>
      <c r="C379" s="561" t="s">
        <v>2380</v>
      </c>
      <c r="D379" s="524" t="str">
        <f aca="false">A379&amp;" "&amp;HLOOKUP($C$1,$E$1:$V$4910,ROW(D379))</f>
        <v>COL Colombia </v>
      </c>
      <c r="E379" s="562" t="s">
        <v>2381</v>
      </c>
      <c r="F379" s="521" t="s">
        <v>2382</v>
      </c>
      <c r="G379" s="528" t="s">
        <v>2382</v>
      </c>
      <c r="H379" s="521" t="s">
        <v>364</v>
      </c>
      <c r="I379" s="521" t="s">
        <v>2383</v>
      </c>
      <c r="J379" s="506" t="s">
        <v>365</v>
      </c>
      <c r="K379" s="522" t="str">
        <f aca="false">IF(J379=A379,"","nix")</f>
        <v/>
      </c>
    </row>
    <row r="380" customFormat="false" ht="15.75" hidden="false" customHeight="true" outlineLevel="0" collapsed="false">
      <c r="A380" s="561" t="s">
        <v>367</v>
      </c>
      <c r="B380" s="520" t="s">
        <v>2384</v>
      </c>
      <c r="C380" s="561" t="s">
        <v>2385</v>
      </c>
      <c r="D380" s="524" t="str">
        <f aca="false">A380&amp;" "&amp;HLOOKUP($C$1,$E$1:$V$4910,ROW(D380))</f>
        <v>COM Comoros </v>
      </c>
      <c r="E380" s="562" t="s">
        <v>2386</v>
      </c>
      <c r="F380" s="521" t="s">
        <v>2387</v>
      </c>
      <c r="G380" s="528" t="s">
        <v>2388</v>
      </c>
      <c r="H380" s="521" t="s">
        <v>2389</v>
      </c>
      <c r="I380" s="521" t="s">
        <v>2390</v>
      </c>
      <c r="J380" s="506" t="s">
        <v>367</v>
      </c>
      <c r="K380" s="522" t="str">
        <f aca="false">IF(J380=A380,"","nix")</f>
        <v/>
      </c>
    </row>
    <row r="381" customFormat="false" ht="15.75" hidden="false" customHeight="true" outlineLevel="0" collapsed="false">
      <c r="A381" s="561" t="s">
        <v>369</v>
      </c>
      <c r="B381" s="520" t="s">
        <v>2391</v>
      </c>
      <c r="C381" s="561" t="s">
        <v>2392</v>
      </c>
      <c r="D381" s="524" t="str">
        <f aca="false">A381&amp;" "&amp;HLOOKUP($C$1,$E$1:$V$4910,ROW(D381))</f>
        <v>CPV Cape Verde </v>
      </c>
      <c r="E381" s="562" t="s">
        <v>2393</v>
      </c>
      <c r="F381" s="521" t="s">
        <v>2394</v>
      </c>
      <c r="G381" s="528" t="s">
        <v>2395</v>
      </c>
      <c r="H381" s="521" t="s">
        <v>368</v>
      </c>
      <c r="I381" s="521" t="s">
        <v>2396</v>
      </c>
      <c r="J381" s="506" t="s">
        <v>369</v>
      </c>
      <c r="K381" s="522" t="str">
        <f aca="false">IF(J381=A381,"","nix")</f>
        <v/>
      </c>
    </row>
    <row r="382" customFormat="false" ht="15.75" hidden="false" customHeight="true" outlineLevel="0" collapsed="false">
      <c r="A382" s="561" t="s">
        <v>371</v>
      </c>
      <c r="B382" s="520" t="s">
        <v>2397</v>
      </c>
      <c r="C382" s="561" t="s">
        <v>2398</v>
      </c>
      <c r="D382" s="524" t="str">
        <f aca="false">A382&amp;" "&amp;HLOOKUP($C$1,$E$1:$V$4910,ROW(D382))</f>
        <v>CRI Costa Rica </v>
      </c>
      <c r="E382" s="562" t="s">
        <v>370</v>
      </c>
      <c r="F382" s="521" t="s">
        <v>2399</v>
      </c>
      <c r="G382" s="528" t="s">
        <v>2399</v>
      </c>
      <c r="H382" s="521" t="s">
        <v>370</v>
      </c>
      <c r="I382" s="521" t="s">
        <v>370</v>
      </c>
      <c r="J382" s="506" t="s">
        <v>371</v>
      </c>
      <c r="K382" s="522" t="str">
        <f aca="false">IF(J382=A382,"","nix")</f>
        <v/>
      </c>
    </row>
    <row r="383" customFormat="false" ht="15.75" hidden="false" customHeight="true" outlineLevel="0" collapsed="false">
      <c r="A383" s="561" t="s">
        <v>373</v>
      </c>
      <c r="B383" s="520" t="s">
        <v>2400</v>
      </c>
      <c r="C383" s="561" t="s">
        <v>2401</v>
      </c>
      <c r="D383" s="524" t="str">
        <f aca="false">A383&amp;" "&amp;HLOOKUP($C$1,$E$1:$V$4910,ROW(D383))</f>
        <v>CUB Cuba </v>
      </c>
      <c r="E383" s="562" t="s">
        <v>2402</v>
      </c>
      <c r="F383" s="521" t="s">
        <v>2403</v>
      </c>
      <c r="G383" s="528" t="s">
        <v>2403</v>
      </c>
      <c r="H383" s="521" t="s">
        <v>372</v>
      </c>
      <c r="I383" s="521" t="s">
        <v>372</v>
      </c>
      <c r="J383" s="506" t="s">
        <v>373</v>
      </c>
      <c r="K383" s="522" t="str">
        <f aca="false">IF(J383=A383,"","nix")</f>
        <v/>
      </c>
    </row>
    <row r="384" customFormat="false" ht="15.75" hidden="false" customHeight="true" outlineLevel="0" collapsed="false">
      <c r="A384" s="561" t="s">
        <v>375</v>
      </c>
      <c r="B384" s="520" t="s">
        <v>2404</v>
      </c>
      <c r="C384" s="561" t="s">
        <v>2405</v>
      </c>
      <c r="D384" s="524" t="str">
        <f aca="false">A384&amp;" "&amp;HLOOKUP($C$1,$E$1:$V$4910,ROW(D384))</f>
        <v>CUW Curaçao </v>
      </c>
      <c r="E384" s="520" t="s">
        <v>2406</v>
      </c>
      <c r="F384" s="521" t="s">
        <v>2407</v>
      </c>
      <c r="G384" s="528" t="s">
        <v>2407</v>
      </c>
      <c r="H384" s="521" t="s">
        <v>2408</v>
      </c>
      <c r="I384" s="521" t="s">
        <v>2406</v>
      </c>
      <c r="J384" s="506" t="s">
        <v>375</v>
      </c>
      <c r="K384" s="522" t="str">
        <f aca="false">IF(J384=A384,"","nix")</f>
        <v/>
      </c>
    </row>
    <row r="385" customFormat="false" ht="15.75" hidden="false" customHeight="true" outlineLevel="0" collapsed="false">
      <c r="A385" s="561" t="s">
        <v>377</v>
      </c>
      <c r="B385" s="520" t="s">
        <v>2409</v>
      </c>
      <c r="C385" s="561" t="s">
        <v>2410</v>
      </c>
      <c r="D385" s="524" t="str">
        <f aca="false">A385&amp;" "&amp;HLOOKUP($C$1,$E$1:$V$4910,ROW(D385))</f>
        <v>CYM Cayman Islands </v>
      </c>
      <c r="E385" s="562" t="s">
        <v>2411</v>
      </c>
      <c r="F385" s="521" t="s">
        <v>2412</v>
      </c>
      <c r="G385" s="528" t="s">
        <v>2413</v>
      </c>
      <c r="H385" s="521" t="s">
        <v>2414</v>
      </c>
      <c r="I385" s="521" t="s">
        <v>2415</v>
      </c>
      <c r="J385" s="506" t="s">
        <v>377</v>
      </c>
      <c r="K385" s="522" t="str">
        <f aca="false">IF(J385=A385,"","nix")</f>
        <v/>
      </c>
    </row>
    <row r="386" customFormat="false" ht="15.75" hidden="false" customHeight="true" outlineLevel="0" collapsed="false">
      <c r="A386" s="561" t="s">
        <v>379</v>
      </c>
      <c r="B386" s="520" t="s">
        <v>2416</v>
      </c>
      <c r="C386" s="561" t="s">
        <v>2417</v>
      </c>
      <c r="D386" s="524" t="str">
        <f aca="false">A386&amp;" "&amp;HLOOKUP($C$1,$E$1:$V$4910,ROW(D386))</f>
        <v>CYP Cyprus </v>
      </c>
      <c r="E386" s="562" t="s">
        <v>2418</v>
      </c>
      <c r="F386" s="521" t="s">
        <v>2419</v>
      </c>
      <c r="G386" s="528" t="s">
        <v>2420</v>
      </c>
      <c r="H386" s="521" t="s">
        <v>2421</v>
      </c>
      <c r="I386" s="521" t="s">
        <v>2422</v>
      </c>
      <c r="J386" s="506" t="s">
        <v>379</v>
      </c>
      <c r="K386" s="522" t="str">
        <f aca="false">IF(J386=A386,"","nix")</f>
        <v/>
      </c>
    </row>
    <row r="387" customFormat="false" ht="15.75" hidden="false" customHeight="true" outlineLevel="0" collapsed="false">
      <c r="A387" s="561" t="s">
        <v>381</v>
      </c>
      <c r="B387" s="520" t="s">
        <v>2423</v>
      </c>
      <c r="C387" s="561" t="s">
        <v>2424</v>
      </c>
      <c r="D387" s="524" t="str">
        <f aca="false">A387&amp;" "&amp;HLOOKUP($C$1,$E$1:$V$4910,ROW(D387))</f>
        <v>CZE Czech Republic </v>
      </c>
      <c r="E387" s="562" t="s">
        <v>2425</v>
      </c>
      <c r="F387" s="521" t="s">
        <v>2426</v>
      </c>
      <c r="G387" s="528" t="s">
        <v>2427</v>
      </c>
      <c r="H387" s="521" t="s">
        <v>2428</v>
      </c>
      <c r="I387" s="521" t="s">
        <v>2429</v>
      </c>
      <c r="J387" s="506" t="s">
        <v>381</v>
      </c>
      <c r="K387" s="522" t="str">
        <f aca="false">IF(J387=A387,"","nix")</f>
        <v/>
      </c>
    </row>
    <row r="388" customFormat="false" ht="15.75" hidden="false" customHeight="true" outlineLevel="0" collapsed="false">
      <c r="A388" s="561" t="s">
        <v>383</v>
      </c>
      <c r="B388" s="520" t="s">
        <v>2430</v>
      </c>
      <c r="C388" s="561" t="s">
        <v>2431</v>
      </c>
      <c r="D388" s="524" t="str">
        <f aca="false">A388&amp;" "&amp;HLOOKUP($C$1,$E$1:$V$4910,ROW(D388))</f>
        <v>DEU Germany </v>
      </c>
      <c r="E388" s="562" t="s">
        <v>10</v>
      </c>
      <c r="F388" s="521" t="s">
        <v>2432</v>
      </c>
      <c r="G388" s="528" t="s">
        <v>2433</v>
      </c>
      <c r="H388" s="521" t="s">
        <v>2434</v>
      </c>
      <c r="I388" s="521" t="s">
        <v>2435</v>
      </c>
      <c r="J388" s="506" t="s">
        <v>383</v>
      </c>
      <c r="K388" s="522" t="str">
        <f aca="false">IF(J388=A388,"","nix")</f>
        <v/>
      </c>
    </row>
    <row r="389" customFormat="false" ht="15.75" hidden="false" customHeight="true" outlineLevel="0" collapsed="false">
      <c r="A389" s="561" t="s">
        <v>385</v>
      </c>
      <c r="B389" s="520" t="s">
        <v>2436</v>
      </c>
      <c r="C389" s="561" t="s">
        <v>2437</v>
      </c>
      <c r="D389" s="524" t="str">
        <f aca="false">A389&amp;" "&amp;HLOOKUP($C$1,$E$1:$V$4910,ROW(D389))</f>
        <v>DJI Djibouti </v>
      </c>
      <c r="E389" s="562" t="s">
        <v>2438</v>
      </c>
      <c r="F389" s="521" t="s">
        <v>2439</v>
      </c>
      <c r="G389" s="528" t="s">
        <v>2440</v>
      </c>
      <c r="H389" s="521" t="s">
        <v>2441</v>
      </c>
      <c r="I389" s="521" t="s">
        <v>384</v>
      </c>
      <c r="J389" s="506" t="s">
        <v>385</v>
      </c>
      <c r="K389" s="522" t="str">
        <f aca="false">IF(J389=A389,"","nix")</f>
        <v/>
      </c>
    </row>
    <row r="390" customFormat="false" ht="15.75" hidden="false" customHeight="true" outlineLevel="0" collapsed="false">
      <c r="A390" s="561" t="s">
        <v>387</v>
      </c>
      <c r="B390" s="520" t="s">
        <v>2442</v>
      </c>
      <c r="C390" s="561" t="s">
        <v>2443</v>
      </c>
      <c r="D390" s="524" t="str">
        <f aca="false">A390&amp;" "&amp;HLOOKUP($C$1,$E$1:$V$4910,ROW(D390))</f>
        <v>DMA Dominica </v>
      </c>
      <c r="E390" s="562" t="s">
        <v>386</v>
      </c>
      <c r="F390" s="521" t="s">
        <v>2444</v>
      </c>
      <c r="G390" s="528" t="s">
        <v>2444</v>
      </c>
      <c r="H390" s="521" t="s">
        <v>386</v>
      </c>
      <c r="I390" s="521" t="s">
        <v>2445</v>
      </c>
      <c r="J390" s="506" t="s">
        <v>387</v>
      </c>
      <c r="K390" s="522" t="str">
        <f aca="false">IF(J390=A390,"","nix")</f>
        <v/>
      </c>
    </row>
    <row r="391" customFormat="false" ht="15.75" hidden="false" customHeight="true" outlineLevel="0" collapsed="false">
      <c r="A391" s="561" t="s">
        <v>389</v>
      </c>
      <c r="B391" s="520" t="s">
        <v>2446</v>
      </c>
      <c r="C391" s="561" t="s">
        <v>2447</v>
      </c>
      <c r="D391" s="524" t="str">
        <f aca="false">A391&amp;" "&amp;HLOOKUP($C$1,$E$1:$V$4910,ROW(D391))</f>
        <v>DNK Denmark </v>
      </c>
      <c r="E391" s="562" t="s">
        <v>2448</v>
      </c>
      <c r="F391" s="521" t="s">
        <v>2449</v>
      </c>
      <c r="G391" s="528" t="s">
        <v>2450</v>
      </c>
      <c r="H391" s="521" t="s">
        <v>2451</v>
      </c>
      <c r="I391" s="521" t="s">
        <v>2452</v>
      </c>
      <c r="J391" s="506" t="s">
        <v>389</v>
      </c>
      <c r="K391" s="522" t="str">
        <f aca="false">IF(J391=A391,"","nix")</f>
        <v/>
      </c>
    </row>
    <row r="392" customFormat="false" ht="15.75" hidden="false" customHeight="true" outlineLevel="0" collapsed="false">
      <c r="A392" s="561" t="s">
        <v>391</v>
      </c>
      <c r="B392" s="520" t="s">
        <v>2453</v>
      </c>
      <c r="C392" s="561" t="s">
        <v>2454</v>
      </c>
      <c r="D392" s="524" t="str">
        <f aca="false">A392&amp;" "&amp;HLOOKUP($C$1,$E$1:$V$4910,ROW(D392))</f>
        <v>DOM Dominican Republic </v>
      </c>
      <c r="E392" s="562" t="s">
        <v>2455</v>
      </c>
      <c r="F392" s="521" t="s">
        <v>2456</v>
      </c>
      <c r="G392" s="528" t="s">
        <v>2457</v>
      </c>
      <c r="H392" s="521" t="s">
        <v>2458</v>
      </c>
      <c r="I392" s="521" t="s">
        <v>2459</v>
      </c>
      <c r="J392" s="506" t="s">
        <v>391</v>
      </c>
      <c r="K392" s="522" t="str">
        <f aca="false">IF(J392=A392,"","nix")</f>
        <v/>
      </c>
    </row>
    <row r="393" customFormat="false" ht="15.75" hidden="false" customHeight="true" outlineLevel="0" collapsed="false">
      <c r="A393" s="561" t="s">
        <v>393</v>
      </c>
      <c r="B393" s="520" t="s">
        <v>2460</v>
      </c>
      <c r="C393" s="561" t="s">
        <v>2461</v>
      </c>
      <c r="D393" s="524" t="str">
        <f aca="false">A393&amp;" "&amp;HLOOKUP($C$1,$E$1:$V$4910,ROW(D393))</f>
        <v>DZA Algeria </v>
      </c>
      <c r="E393" s="562" t="s">
        <v>2462</v>
      </c>
      <c r="F393" s="521" t="s">
        <v>2463</v>
      </c>
      <c r="G393" s="528" t="s">
        <v>2463</v>
      </c>
      <c r="H393" s="521" t="s">
        <v>2464</v>
      </c>
      <c r="I393" s="521" t="s">
        <v>2465</v>
      </c>
      <c r="J393" s="506" t="s">
        <v>393</v>
      </c>
      <c r="K393" s="522" t="str">
        <f aca="false">IF(J393=A393,"","nix")</f>
        <v/>
      </c>
    </row>
    <row r="394" customFormat="false" ht="15.75" hidden="false" customHeight="true" outlineLevel="0" collapsed="false">
      <c r="A394" s="561" t="s">
        <v>395</v>
      </c>
      <c r="B394" s="520" t="s">
        <v>2466</v>
      </c>
      <c r="C394" s="561" t="s">
        <v>2467</v>
      </c>
      <c r="D394" s="524" t="str">
        <f aca="false">A394&amp;" "&amp;HLOOKUP($C$1,$E$1:$V$4910,ROW(D394))</f>
        <v>ECU Ecuador </v>
      </c>
      <c r="E394" s="562" t="s">
        <v>394</v>
      </c>
      <c r="F394" s="521" t="s">
        <v>2468</v>
      </c>
      <c r="G394" s="528" t="s">
        <v>2468</v>
      </c>
      <c r="H394" s="521" t="s">
        <v>394</v>
      </c>
      <c r="I394" s="521" t="s">
        <v>2469</v>
      </c>
      <c r="J394" s="506" t="s">
        <v>395</v>
      </c>
      <c r="K394" s="522" t="str">
        <f aca="false">IF(J394=A394,"","nix")</f>
        <v/>
      </c>
    </row>
    <row r="395" customFormat="false" ht="15.75" hidden="false" customHeight="true" outlineLevel="0" collapsed="false">
      <c r="A395" s="561" t="s">
        <v>397</v>
      </c>
      <c r="B395" s="520" t="s">
        <v>2470</v>
      </c>
      <c r="C395" s="561" t="s">
        <v>2471</v>
      </c>
      <c r="D395" s="524" t="str">
        <f aca="false">A395&amp;" "&amp;HLOOKUP($C$1,$E$1:$V$4910,ROW(D395))</f>
        <v>EGY Egypt </v>
      </c>
      <c r="E395" s="562" t="s">
        <v>2472</v>
      </c>
      <c r="F395" s="521" t="s">
        <v>2473</v>
      </c>
      <c r="G395" s="528" t="s">
        <v>2474</v>
      </c>
      <c r="H395" s="521" t="s">
        <v>2475</v>
      </c>
      <c r="I395" s="521" t="s">
        <v>2476</v>
      </c>
      <c r="J395" s="506" t="s">
        <v>397</v>
      </c>
      <c r="K395" s="522" t="str">
        <f aca="false">IF(J395=A395,"","nix")</f>
        <v/>
      </c>
    </row>
    <row r="396" customFormat="false" ht="15.75" hidden="false" customHeight="true" outlineLevel="0" collapsed="false">
      <c r="A396" s="561" t="s">
        <v>399</v>
      </c>
      <c r="B396" s="520" t="s">
        <v>2477</v>
      </c>
      <c r="C396" s="561" t="s">
        <v>2478</v>
      </c>
      <c r="D396" s="524" t="str">
        <f aca="false">A396&amp;" "&amp;HLOOKUP($C$1,$E$1:$V$4910,ROW(D396))</f>
        <v>ERI Eritrea </v>
      </c>
      <c r="E396" s="562" t="s">
        <v>398</v>
      </c>
      <c r="F396" s="521" t="s">
        <v>2479</v>
      </c>
      <c r="G396" s="528" t="s">
        <v>2479</v>
      </c>
      <c r="H396" s="521" t="s">
        <v>398</v>
      </c>
      <c r="I396" s="521" t="s">
        <v>2480</v>
      </c>
      <c r="J396" s="506" t="s">
        <v>399</v>
      </c>
      <c r="K396" s="522" t="str">
        <f aca="false">IF(J396=A396,"","nix")</f>
        <v/>
      </c>
    </row>
    <row r="397" customFormat="false" ht="15.75" hidden="false" customHeight="true" outlineLevel="0" collapsed="false">
      <c r="A397" s="561" t="s">
        <v>401</v>
      </c>
      <c r="B397" s="520" t="s">
        <v>2481</v>
      </c>
      <c r="C397" s="561" t="s">
        <v>2482</v>
      </c>
      <c r="D397" s="524" t="str">
        <f aca="false">A397&amp;" "&amp;HLOOKUP($C$1,$E$1:$V$4910,ROW(D397))</f>
        <v>ESP Spain </v>
      </c>
      <c r="E397" s="562" t="s">
        <v>2483</v>
      </c>
      <c r="F397" s="521" t="s">
        <v>2484</v>
      </c>
      <c r="G397" s="528" t="s">
        <v>2485</v>
      </c>
      <c r="H397" s="521" t="s">
        <v>2486</v>
      </c>
      <c r="I397" s="521" t="s">
        <v>2487</v>
      </c>
      <c r="J397" s="506" t="s">
        <v>401</v>
      </c>
      <c r="K397" s="522" t="str">
        <f aca="false">IF(J397=A397,"","nix")</f>
        <v/>
      </c>
    </row>
    <row r="398" customFormat="false" ht="15.75" hidden="false" customHeight="true" outlineLevel="0" collapsed="false">
      <c r="A398" s="561" t="s">
        <v>403</v>
      </c>
      <c r="B398" s="520" t="s">
        <v>2488</v>
      </c>
      <c r="C398" s="561" t="s">
        <v>2489</v>
      </c>
      <c r="D398" s="524" t="str">
        <f aca="false">A398&amp;" "&amp;HLOOKUP($C$1,$E$1:$V$4910,ROW(D398))</f>
        <v>EST Estonia </v>
      </c>
      <c r="E398" s="562" t="s">
        <v>2490</v>
      </c>
      <c r="F398" s="521" t="s">
        <v>2491</v>
      </c>
      <c r="G398" s="528" t="s">
        <v>2491</v>
      </c>
      <c r="H398" s="521" t="s">
        <v>402</v>
      </c>
      <c r="I398" s="521" t="s">
        <v>2492</v>
      </c>
      <c r="J398" s="506" t="s">
        <v>403</v>
      </c>
      <c r="K398" s="522" t="str">
        <f aca="false">IF(J398=A398,"","nix")</f>
        <v/>
      </c>
    </row>
    <row r="399" customFormat="false" ht="15.75" hidden="false" customHeight="true" outlineLevel="0" collapsed="false">
      <c r="A399" s="561" t="s">
        <v>405</v>
      </c>
      <c r="B399" s="520" t="s">
        <v>2493</v>
      </c>
      <c r="C399" s="561" t="s">
        <v>2494</v>
      </c>
      <c r="D399" s="524" t="str">
        <f aca="false">A399&amp;" "&amp;HLOOKUP($C$1,$E$1:$V$4910,ROW(D399))</f>
        <v>ETH Ethiopia </v>
      </c>
      <c r="E399" s="562" t="s">
        <v>2495</v>
      </c>
      <c r="F399" s="521" t="s">
        <v>2496</v>
      </c>
      <c r="G399" s="528" t="s">
        <v>2497</v>
      </c>
      <c r="H399" s="521" t="s">
        <v>2498</v>
      </c>
      <c r="I399" s="521" t="s">
        <v>2499</v>
      </c>
      <c r="J399" s="506" t="s">
        <v>405</v>
      </c>
      <c r="K399" s="522" t="str">
        <f aca="false">IF(J399=A399,"","nix")</f>
        <v/>
      </c>
    </row>
    <row r="400" customFormat="false" ht="15.75" hidden="false" customHeight="true" outlineLevel="0" collapsed="false">
      <c r="A400" s="561" t="s">
        <v>407</v>
      </c>
      <c r="B400" s="520" t="s">
        <v>2500</v>
      </c>
      <c r="C400" s="561" t="s">
        <v>2501</v>
      </c>
      <c r="D400" s="524" t="str">
        <f aca="false">A400&amp;" "&amp;HLOOKUP($C$1,$E$1:$V$4910,ROW(D400))</f>
        <v>FIN Finland </v>
      </c>
      <c r="E400" s="562" t="s">
        <v>2502</v>
      </c>
      <c r="F400" s="521" t="s">
        <v>2503</v>
      </c>
      <c r="G400" s="528" t="s">
        <v>2504</v>
      </c>
      <c r="H400" s="521" t="s">
        <v>2505</v>
      </c>
      <c r="I400" s="521" t="s">
        <v>2506</v>
      </c>
      <c r="J400" s="506" t="s">
        <v>407</v>
      </c>
      <c r="K400" s="522" t="str">
        <f aca="false">IF(J400=A400,"","nix")</f>
        <v/>
      </c>
    </row>
    <row r="401" customFormat="false" ht="28.5" hidden="false" customHeight="true" outlineLevel="0" collapsed="false">
      <c r="A401" s="561" t="s">
        <v>409</v>
      </c>
      <c r="B401" s="520" t="s">
        <v>2507</v>
      </c>
      <c r="C401" s="561" t="s">
        <v>2508</v>
      </c>
      <c r="D401" s="524" t="str">
        <f aca="false">A401&amp;" "&amp;HLOOKUP($C$1,$E$1:$V$4910,ROW(D401))</f>
        <v>FJI Fiji </v>
      </c>
      <c r="E401" s="562" t="s">
        <v>2509</v>
      </c>
      <c r="F401" s="521" t="s">
        <v>2510</v>
      </c>
      <c r="G401" s="528" t="s">
        <v>2511</v>
      </c>
      <c r="H401" s="521" t="s">
        <v>2512</v>
      </c>
      <c r="I401" s="521" t="s">
        <v>408</v>
      </c>
      <c r="J401" s="506" t="s">
        <v>409</v>
      </c>
      <c r="K401" s="522" t="str">
        <f aca="false">IF(J401=A401,"","nix")</f>
        <v/>
      </c>
    </row>
    <row r="402" customFormat="false" ht="15.75" hidden="false" customHeight="true" outlineLevel="0" collapsed="false">
      <c r="A402" s="561" t="s">
        <v>411</v>
      </c>
      <c r="B402" s="520" t="s">
        <v>2513</v>
      </c>
      <c r="C402" s="561" t="s">
        <v>2514</v>
      </c>
      <c r="D402" s="524" t="str">
        <f aca="false">A402&amp;" "&amp;HLOOKUP($C$1,$E$1:$V$4910,ROW(D402))</f>
        <v>FRA France </v>
      </c>
      <c r="E402" s="562" t="s">
        <v>2515</v>
      </c>
      <c r="F402" s="521" t="s">
        <v>2516</v>
      </c>
      <c r="G402" s="528" t="s">
        <v>2517</v>
      </c>
      <c r="H402" s="521" t="s">
        <v>2518</v>
      </c>
      <c r="I402" s="521" t="s">
        <v>410</v>
      </c>
      <c r="J402" s="506" t="s">
        <v>411</v>
      </c>
      <c r="K402" s="522" t="str">
        <f aca="false">IF(J402=A402,"","nix")</f>
        <v/>
      </c>
    </row>
    <row r="403" customFormat="false" ht="15.75" hidden="false" customHeight="true" outlineLevel="0" collapsed="false">
      <c r="A403" s="561" t="s">
        <v>413</v>
      </c>
      <c r="B403" s="520" t="s">
        <v>2519</v>
      </c>
      <c r="C403" s="561" t="s">
        <v>2520</v>
      </c>
      <c r="D403" s="524" t="str">
        <f aca="false">A403&amp;" "&amp;HLOOKUP($C$1,$E$1:$V$4910,ROW(D403))</f>
        <v>FRO Faroe Islands </v>
      </c>
      <c r="E403" s="562" t="s">
        <v>2521</v>
      </c>
      <c r="F403" s="521" t="s">
        <v>2522</v>
      </c>
      <c r="G403" s="528" t="s">
        <v>2523</v>
      </c>
      <c r="H403" s="521" t="s">
        <v>2524</v>
      </c>
      <c r="I403" s="521" t="s">
        <v>2525</v>
      </c>
      <c r="J403" s="506" t="s">
        <v>413</v>
      </c>
      <c r="K403" s="522" t="str">
        <f aca="false">IF(J403=A403,"","nix")</f>
        <v/>
      </c>
    </row>
    <row r="404" customFormat="false" ht="15.75" hidden="false" customHeight="true" outlineLevel="0" collapsed="false">
      <c r="A404" s="561" t="s">
        <v>415</v>
      </c>
      <c r="B404" s="520" t="s">
        <v>2526</v>
      </c>
      <c r="C404" s="561" t="s">
        <v>2527</v>
      </c>
      <c r="D404" s="524" t="str">
        <f aca="false">A404&amp;" "&amp;HLOOKUP($C$1,$E$1:$V$4910,ROW(D404))</f>
        <v>FSM Micronesia, Federated States of </v>
      </c>
      <c r="E404" s="562" t="s">
        <v>2528</v>
      </c>
      <c r="F404" s="521" t="s">
        <v>2529</v>
      </c>
      <c r="G404" s="528" t="s">
        <v>2530</v>
      </c>
      <c r="H404" s="521" t="s">
        <v>2531</v>
      </c>
      <c r="I404" s="521" t="s">
        <v>2532</v>
      </c>
      <c r="J404" s="506" t="s">
        <v>415</v>
      </c>
      <c r="K404" s="522" t="str">
        <f aca="false">IF(J404=A404,"","nix")</f>
        <v/>
      </c>
    </row>
    <row r="405" customFormat="false" ht="15.75" hidden="false" customHeight="true" outlineLevel="0" collapsed="false">
      <c r="A405" s="561" t="s">
        <v>417</v>
      </c>
      <c r="B405" s="520" t="s">
        <v>2533</v>
      </c>
      <c r="C405" s="561" t="s">
        <v>2534</v>
      </c>
      <c r="D405" s="524" t="str">
        <f aca="false">A405&amp;" "&amp;HLOOKUP($C$1,$E$1:$V$4910,ROW(D405))</f>
        <v>GAB Gabon </v>
      </c>
      <c r="E405" s="562" t="s">
        <v>2535</v>
      </c>
      <c r="F405" s="521" t="s">
        <v>2536</v>
      </c>
      <c r="G405" s="528" t="s">
        <v>2536</v>
      </c>
      <c r="H405" s="521" t="s">
        <v>2537</v>
      </c>
      <c r="I405" s="521" t="s">
        <v>416</v>
      </c>
      <c r="J405" s="506" t="s">
        <v>417</v>
      </c>
      <c r="K405" s="522" t="str">
        <f aca="false">IF(J405=A405,"","nix")</f>
        <v/>
      </c>
    </row>
    <row r="406" customFormat="false" ht="15.75" hidden="false" customHeight="true" outlineLevel="0" collapsed="false">
      <c r="A406" s="561" t="s">
        <v>419</v>
      </c>
      <c r="B406" s="520" t="s">
        <v>2538</v>
      </c>
      <c r="C406" s="561" t="s">
        <v>2539</v>
      </c>
      <c r="D406" s="524" t="str">
        <f aca="false">A406&amp;" "&amp;HLOOKUP($C$1,$E$1:$V$4910,ROW(D406))</f>
        <v>GBR United Kingdom </v>
      </c>
      <c r="E406" s="562" t="s">
        <v>2540</v>
      </c>
      <c r="F406" s="521" t="s">
        <v>2541</v>
      </c>
      <c r="G406" s="528" t="s">
        <v>2542</v>
      </c>
      <c r="H406" s="521" t="s">
        <v>2543</v>
      </c>
      <c r="I406" s="521" t="s">
        <v>2544</v>
      </c>
      <c r="J406" s="506" t="s">
        <v>419</v>
      </c>
      <c r="K406" s="522" t="str">
        <f aca="false">IF(J406=A406,"","nix")</f>
        <v/>
      </c>
    </row>
    <row r="407" customFormat="false" ht="15.75" hidden="false" customHeight="true" outlineLevel="0" collapsed="false">
      <c r="A407" s="561" t="s">
        <v>421</v>
      </c>
      <c r="B407" s="520" t="s">
        <v>2545</v>
      </c>
      <c r="C407" s="561" t="s">
        <v>2546</v>
      </c>
      <c r="D407" s="524" t="str">
        <f aca="false">A407&amp;" "&amp;HLOOKUP($C$1,$E$1:$V$4910,ROW(D407))</f>
        <v>GEO Georgia </v>
      </c>
      <c r="E407" s="562" t="s">
        <v>2547</v>
      </c>
      <c r="F407" s="521" t="s">
        <v>2548</v>
      </c>
      <c r="G407" s="528" t="s">
        <v>2548</v>
      </c>
      <c r="H407" s="521" t="s">
        <v>420</v>
      </c>
      <c r="I407" s="521" t="s">
        <v>2549</v>
      </c>
      <c r="J407" s="506" t="s">
        <v>421</v>
      </c>
      <c r="K407" s="522" t="str">
        <f aca="false">IF(J407=A407,"","nix")</f>
        <v/>
      </c>
    </row>
    <row r="408" customFormat="false" ht="15.75" hidden="false" customHeight="true" outlineLevel="0" collapsed="false">
      <c r="A408" s="561" t="s">
        <v>423</v>
      </c>
      <c r="B408" s="520" t="s">
        <v>2550</v>
      </c>
      <c r="C408" s="561" t="s">
        <v>2551</v>
      </c>
      <c r="D408" s="524" t="str">
        <f aca="false">A408&amp;" "&amp;HLOOKUP($C$1,$E$1:$V$4910,ROW(D408))</f>
        <v>GHA Ghana </v>
      </c>
      <c r="E408" s="562" t="s">
        <v>422</v>
      </c>
      <c r="F408" s="521" t="s">
        <v>2552</v>
      </c>
      <c r="G408" s="528" t="s">
        <v>2552</v>
      </c>
      <c r="H408" s="521" t="s">
        <v>422</v>
      </c>
      <c r="I408" s="521" t="s">
        <v>422</v>
      </c>
      <c r="J408" s="506" t="s">
        <v>423</v>
      </c>
      <c r="K408" s="522" t="str">
        <f aca="false">IF(J408=A408,"","nix")</f>
        <v/>
      </c>
    </row>
    <row r="409" customFormat="false" ht="15.75" hidden="false" customHeight="true" outlineLevel="0" collapsed="false">
      <c r="A409" s="561" t="s">
        <v>425</v>
      </c>
      <c r="B409" s="520" t="s">
        <v>2553</v>
      </c>
      <c r="C409" s="561" t="s">
        <v>2554</v>
      </c>
      <c r="D409" s="524" t="str">
        <f aca="false">A409&amp;" "&amp;HLOOKUP($C$1,$E$1:$V$4910,ROW(D409))</f>
        <v>GIB Gibraltar </v>
      </c>
      <c r="E409" s="562" t="s">
        <v>424</v>
      </c>
      <c r="F409" s="521" t="s">
        <v>2555</v>
      </c>
      <c r="G409" s="528" t="s">
        <v>2556</v>
      </c>
      <c r="H409" s="521" t="s">
        <v>424</v>
      </c>
      <c r="I409" s="521" t="s">
        <v>2557</v>
      </c>
      <c r="J409" s="506" t="s">
        <v>425</v>
      </c>
      <c r="K409" s="522" t="str">
        <f aca="false">IF(J409=A409,"","nix")</f>
        <v/>
      </c>
    </row>
    <row r="410" customFormat="false" ht="15.75" hidden="false" customHeight="true" outlineLevel="0" collapsed="false">
      <c r="A410" s="561" t="s">
        <v>427</v>
      </c>
      <c r="B410" s="520" t="s">
        <v>2558</v>
      </c>
      <c r="C410" s="561" t="s">
        <v>2559</v>
      </c>
      <c r="D410" s="524" t="str">
        <f aca="false">A410&amp;" "&amp;HLOOKUP($C$1,$E$1:$V$4910,ROW(D410))</f>
        <v>GIN Guinea </v>
      </c>
      <c r="E410" s="562" t="s">
        <v>426</v>
      </c>
      <c r="F410" s="521" t="s">
        <v>2560</v>
      </c>
      <c r="G410" s="528" t="s">
        <v>2560</v>
      </c>
      <c r="H410" s="521" t="s">
        <v>426</v>
      </c>
      <c r="I410" s="521" t="s">
        <v>2561</v>
      </c>
      <c r="J410" s="506" t="s">
        <v>427</v>
      </c>
      <c r="K410" s="522" t="str">
        <f aca="false">IF(J410=A410,"","nix")</f>
        <v/>
      </c>
    </row>
    <row r="411" customFormat="false" ht="15.75" hidden="false" customHeight="true" outlineLevel="0" collapsed="false">
      <c r="A411" s="561" t="s">
        <v>429</v>
      </c>
      <c r="B411" s="520" t="s">
        <v>2562</v>
      </c>
      <c r="C411" s="561" t="s">
        <v>2563</v>
      </c>
      <c r="D411" s="524" t="str">
        <f aca="false">A411&amp;" "&amp;HLOOKUP($C$1,$E$1:$V$4910,ROW(D411))</f>
        <v>GMB Gambia </v>
      </c>
      <c r="E411" s="562" t="s">
        <v>2564</v>
      </c>
      <c r="F411" s="521" t="s">
        <v>2565</v>
      </c>
      <c r="G411" s="528" t="s">
        <v>2565</v>
      </c>
      <c r="H411" s="521" t="s">
        <v>2564</v>
      </c>
      <c r="I411" s="521" t="s">
        <v>2566</v>
      </c>
      <c r="J411" s="506" t="s">
        <v>429</v>
      </c>
      <c r="K411" s="522" t="str">
        <f aca="false">IF(J411=A411,"","nix")</f>
        <v/>
      </c>
    </row>
    <row r="412" customFormat="false" ht="28.5" hidden="false" customHeight="true" outlineLevel="0" collapsed="false">
      <c r="A412" s="561" t="s">
        <v>431</v>
      </c>
      <c r="B412" s="520" t="s">
        <v>2567</v>
      </c>
      <c r="C412" s="561" t="s">
        <v>2568</v>
      </c>
      <c r="D412" s="524" t="str">
        <f aca="false">A412&amp;" "&amp;HLOOKUP($C$1,$E$1:$V$4910,ROW(D412))</f>
        <v>GNB Guinea-Bissau </v>
      </c>
      <c r="E412" s="562" t="s">
        <v>430</v>
      </c>
      <c r="F412" s="521" t="s">
        <v>2569</v>
      </c>
      <c r="G412" s="528" t="s">
        <v>2569</v>
      </c>
      <c r="H412" s="521" t="s">
        <v>2570</v>
      </c>
      <c r="I412" s="521" t="s">
        <v>2571</v>
      </c>
      <c r="J412" s="506" t="s">
        <v>431</v>
      </c>
      <c r="K412" s="522" t="str">
        <f aca="false">IF(J412=A412,"","nix")</f>
        <v/>
      </c>
    </row>
    <row r="413" customFormat="false" ht="15.75" hidden="false" customHeight="true" outlineLevel="0" collapsed="false">
      <c r="A413" s="561" t="s">
        <v>433</v>
      </c>
      <c r="B413" s="520" t="s">
        <v>2572</v>
      </c>
      <c r="C413" s="561" t="s">
        <v>2573</v>
      </c>
      <c r="D413" s="524" t="str">
        <f aca="false">A413&amp;" "&amp;HLOOKUP($C$1,$E$1:$V$4910,ROW(D413))</f>
        <v>GNQ Equatorial Guinea </v>
      </c>
      <c r="E413" s="562" t="s">
        <v>2574</v>
      </c>
      <c r="F413" s="521" t="s">
        <v>2575</v>
      </c>
      <c r="G413" s="528" t="s">
        <v>2576</v>
      </c>
      <c r="H413" s="521" t="s">
        <v>2577</v>
      </c>
      <c r="I413" s="521" t="s">
        <v>2578</v>
      </c>
      <c r="J413" s="506" t="s">
        <v>433</v>
      </c>
      <c r="K413" s="522" t="str">
        <f aca="false">IF(J413=A413,"","nix")</f>
        <v/>
      </c>
    </row>
    <row r="414" customFormat="false" ht="15.75" hidden="false" customHeight="true" outlineLevel="0" collapsed="false">
      <c r="A414" s="561" t="s">
        <v>435</v>
      </c>
      <c r="B414" s="520" t="s">
        <v>2579</v>
      </c>
      <c r="C414" s="561" t="s">
        <v>2580</v>
      </c>
      <c r="D414" s="524" t="str">
        <f aca="false">A414&amp;" "&amp;HLOOKUP($C$1,$E$1:$V$4910,ROW(D414))</f>
        <v>GRC Greece </v>
      </c>
      <c r="E414" s="562" t="s">
        <v>2581</v>
      </c>
      <c r="F414" s="521" t="s">
        <v>2582</v>
      </c>
      <c r="G414" s="528" t="s">
        <v>2583</v>
      </c>
      <c r="H414" s="521" t="s">
        <v>2584</v>
      </c>
      <c r="I414" s="521" t="s">
        <v>2585</v>
      </c>
      <c r="J414" s="506" t="s">
        <v>435</v>
      </c>
      <c r="K414" s="522" t="str">
        <f aca="false">IF(J414=A414,"","nix")</f>
        <v/>
      </c>
    </row>
    <row r="415" customFormat="false" ht="15.75" hidden="false" customHeight="true" outlineLevel="0" collapsed="false">
      <c r="A415" s="561" t="s">
        <v>437</v>
      </c>
      <c r="B415" s="520" t="s">
        <v>2586</v>
      </c>
      <c r="C415" s="561" t="s">
        <v>2587</v>
      </c>
      <c r="D415" s="524" t="str">
        <f aca="false">A415&amp;" "&amp;HLOOKUP($C$1,$E$1:$V$4910,ROW(D415))</f>
        <v>GRD Grenada </v>
      </c>
      <c r="E415" s="562" t="s">
        <v>436</v>
      </c>
      <c r="F415" s="521" t="s">
        <v>2588</v>
      </c>
      <c r="G415" s="528" t="s">
        <v>2588</v>
      </c>
      <c r="H415" s="521" t="s">
        <v>2589</v>
      </c>
      <c r="I415" s="521" t="s">
        <v>2590</v>
      </c>
      <c r="J415" s="506" t="s">
        <v>437</v>
      </c>
      <c r="K415" s="522" t="str">
        <f aca="false">IF(J415=A415,"","nix")</f>
        <v/>
      </c>
    </row>
    <row r="416" customFormat="false" ht="15.75" hidden="false" customHeight="true" outlineLevel="0" collapsed="false">
      <c r="A416" s="561" t="s">
        <v>439</v>
      </c>
      <c r="B416" s="520" t="s">
        <v>2591</v>
      </c>
      <c r="C416" s="561" t="s">
        <v>2592</v>
      </c>
      <c r="D416" s="524" t="str">
        <f aca="false">A416&amp;" "&amp;HLOOKUP($C$1,$E$1:$V$4910,ROW(D416))</f>
        <v>GRL Greenland </v>
      </c>
      <c r="E416" s="562" t="s">
        <v>2593</v>
      </c>
      <c r="F416" s="521" t="s">
        <v>2594</v>
      </c>
      <c r="G416" s="528" t="s">
        <v>2595</v>
      </c>
      <c r="H416" s="521" t="s">
        <v>2596</v>
      </c>
      <c r="I416" s="521" t="s">
        <v>2597</v>
      </c>
      <c r="J416" s="506" t="s">
        <v>439</v>
      </c>
      <c r="K416" s="522" t="str">
        <f aca="false">IF(J416=A416,"","nix")</f>
        <v/>
      </c>
    </row>
    <row r="417" customFormat="false" ht="15.75" hidden="false" customHeight="true" outlineLevel="0" collapsed="false">
      <c r="A417" s="561" t="s">
        <v>441</v>
      </c>
      <c r="B417" s="520" t="s">
        <v>2598</v>
      </c>
      <c r="C417" s="561" t="s">
        <v>2599</v>
      </c>
      <c r="D417" s="524" t="str">
        <f aca="false">A417&amp;" "&amp;HLOOKUP($C$1,$E$1:$V$4910,ROW(D417))</f>
        <v>GTM Guatemala </v>
      </c>
      <c r="E417" s="562" t="s">
        <v>440</v>
      </c>
      <c r="F417" s="521" t="s">
        <v>2600</v>
      </c>
      <c r="G417" s="528" t="s">
        <v>2600</v>
      </c>
      <c r="H417" s="521" t="s">
        <v>440</v>
      </c>
      <c r="I417" s="521" t="s">
        <v>2601</v>
      </c>
      <c r="J417" s="506" t="s">
        <v>441</v>
      </c>
      <c r="K417" s="522" t="str">
        <f aca="false">IF(J417=A417,"","nix")</f>
        <v/>
      </c>
    </row>
    <row r="418" customFormat="false" ht="15.75" hidden="false" customHeight="true" outlineLevel="0" collapsed="false">
      <c r="A418" s="561" t="s">
        <v>443</v>
      </c>
      <c r="B418" s="520" t="s">
        <v>2602</v>
      </c>
      <c r="C418" s="561" t="s">
        <v>2603</v>
      </c>
      <c r="D418" s="524" t="str">
        <f aca="false">A418&amp;" "&amp;HLOOKUP($C$1,$E$1:$V$4910,ROW(D418))</f>
        <v>GUM Guam </v>
      </c>
      <c r="E418" s="562" t="s">
        <v>442</v>
      </c>
      <c r="F418" s="521" t="s">
        <v>2604</v>
      </c>
      <c r="G418" s="528" t="s">
        <v>2604</v>
      </c>
      <c r="H418" s="521" t="s">
        <v>442</v>
      </c>
      <c r="I418" s="521" t="s">
        <v>442</v>
      </c>
      <c r="J418" s="506" t="s">
        <v>443</v>
      </c>
      <c r="K418" s="522" t="str">
        <f aca="false">IF(J418=A418,"","nix")</f>
        <v/>
      </c>
    </row>
    <row r="419" customFormat="false" ht="15.75" hidden="false" customHeight="true" outlineLevel="0" collapsed="false">
      <c r="A419" s="561" t="s">
        <v>445</v>
      </c>
      <c r="B419" s="520" t="s">
        <v>2605</v>
      </c>
      <c r="C419" s="561" t="s">
        <v>2606</v>
      </c>
      <c r="D419" s="524" t="str">
        <f aca="false">A419&amp;" "&amp;HLOOKUP($C$1,$E$1:$V$4910,ROW(D419))</f>
        <v>GUY Guyana </v>
      </c>
      <c r="E419" s="562" t="s">
        <v>444</v>
      </c>
      <c r="F419" s="521" t="s">
        <v>2607</v>
      </c>
      <c r="G419" s="528" t="s">
        <v>2607</v>
      </c>
      <c r="H419" s="521" t="s">
        <v>444</v>
      </c>
      <c r="I419" s="521" t="s">
        <v>2608</v>
      </c>
      <c r="J419" s="506" t="s">
        <v>445</v>
      </c>
      <c r="K419" s="522" t="str">
        <f aca="false">IF(J419=A419,"","nix")</f>
        <v/>
      </c>
    </row>
    <row r="420" customFormat="false" ht="15.75" hidden="false" customHeight="true" outlineLevel="0" collapsed="false">
      <c r="A420" s="561" t="s">
        <v>447</v>
      </c>
      <c r="B420" s="520" t="s">
        <v>2609</v>
      </c>
      <c r="C420" s="561" t="s">
        <v>2610</v>
      </c>
      <c r="D420" s="524" t="str">
        <f aca="false">A420&amp;" "&amp;HLOOKUP($C$1,$E$1:$V$4910,ROW(D420))</f>
        <v>HKG Hong Kong </v>
      </c>
      <c r="E420" s="562" t="s">
        <v>2611</v>
      </c>
      <c r="F420" s="521" t="s">
        <v>2612</v>
      </c>
      <c r="G420" s="528" t="s">
        <v>2612</v>
      </c>
      <c r="H420" s="521" t="s">
        <v>2613</v>
      </c>
      <c r="I420" s="521" t="s">
        <v>2613</v>
      </c>
      <c r="J420" s="506" t="s">
        <v>447</v>
      </c>
      <c r="K420" s="522" t="str">
        <f aca="false">IF(J420=A420,"","nix")</f>
        <v/>
      </c>
    </row>
    <row r="421" customFormat="false" ht="15.75" hidden="false" customHeight="true" outlineLevel="0" collapsed="false">
      <c r="A421" s="561" t="s">
        <v>449</v>
      </c>
      <c r="B421" s="520" t="s">
        <v>2614</v>
      </c>
      <c r="C421" s="561" t="s">
        <v>2615</v>
      </c>
      <c r="D421" s="524" t="str">
        <f aca="false">A421&amp;" "&amp;HLOOKUP($C$1,$E$1:$V$4910,ROW(D421))</f>
        <v>HND Honduras </v>
      </c>
      <c r="E421" s="562" t="s">
        <v>448</v>
      </c>
      <c r="F421" s="521" t="s">
        <v>2616</v>
      </c>
      <c r="G421" s="528" t="s">
        <v>2616</v>
      </c>
      <c r="H421" s="521" t="s">
        <v>448</v>
      </c>
      <c r="I421" s="521" t="s">
        <v>448</v>
      </c>
      <c r="J421" s="506" t="s">
        <v>449</v>
      </c>
      <c r="K421" s="522" t="str">
        <f aca="false">IF(J421=A421,"","nix")</f>
        <v/>
      </c>
    </row>
    <row r="422" customFormat="false" ht="15.75" hidden="false" customHeight="true" outlineLevel="0" collapsed="false">
      <c r="A422" s="561" t="s">
        <v>451</v>
      </c>
      <c r="B422" s="520" t="s">
        <v>2617</v>
      </c>
      <c r="C422" s="561" t="s">
        <v>2618</v>
      </c>
      <c r="D422" s="524" t="str">
        <f aca="false">A422&amp;" "&amp;HLOOKUP($C$1,$E$1:$V$4910,ROW(D422))</f>
        <v>HRV Croatia </v>
      </c>
      <c r="E422" s="562" t="s">
        <v>2619</v>
      </c>
      <c r="F422" s="521" t="s">
        <v>2620</v>
      </c>
      <c r="G422" s="528" t="s">
        <v>2621</v>
      </c>
      <c r="H422" s="521" t="s">
        <v>2622</v>
      </c>
      <c r="I422" s="521" t="s">
        <v>2623</v>
      </c>
      <c r="J422" s="506" t="s">
        <v>451</v>
      </c>
      <c r="K422" s="522" t="str">
        <f aca="false">IF(J422=A422,"","nix")</f>
        <v/>
      </c>
    </row>
    <row r="423" customFormat="false" ht="15.75" hidden="false" customHeight="true" outlineLevel="0" collapsed="false">
      <c r="A423" s="561" t="s">
        <v>453</v>
      </c>
      <c r="B423" s="520" t="s">
        <v>2624</v>
      </c>
      <c r="C423" s="561" t="s">
        <v>2625</v>
      </c>
      <c r="D423" s="524" t="str">
        <f aca="false">A423&amp;" "&amp;HLOOKUP($C$1,$E$1:$V$4910,ROW(D423))</f>
        <v>HTI Haiti </v>
      </c>
      <c r="E423" s="562" t="s">
        <v>452</v>
      </c>
      <c r="F423" s="521" t="s">
        <v>2626</v>
      </c>
      <c r="G423" s="528" t="s">
        <v>2626</v>
      </c>
      <c r="H423" s="521" t="s">
        <v>2627</v>
      </c>
      <c r="I423" s="521" t="s">
        <v>2628</v>
      </c>
      <c r="J423" s="506" t="s">
        <v>453</v>
      </c>
      <c r="K423" s="522" t="str">
        <f aca="false">IF(J423=A423,"","nix")</f>
        <v/>
      </c>
    </row>
    <row r="424" customFormat="false" ht="15.75" hidden="false" customHeight="true" outlineLevel="0" collapsed="false">
      <c r="A424" s="561" t="s">
        <v>455</v>
      </c>
      <c r="B424" s="520" t="s">
        <v>2629</v>
      </c>
      <c r="C424" s="561" t="s">
        <v>2630</v>
      </c>
      <c r="D424" s="524" t="str">
        <f aca="false">A424&amp;" "&amp;HLOOKUP($C$1,$E$1:$V$4910,ROW(D424))</f>
        <v>HUN Hungary </v>
      </c>
      <c r="E424" s="562" t="s">
        <v>2631</v>
      </c>
      <c r="F424" s="521" t="s">
        <v>2632</v>
      </c>
      <c r="G424" s="528" t="s">
        <v>2633</v>
      </c>
      <c r="H424" s="521" t="s">
        <v>2634</v>
      </c>
      <c r="I424" s="521" t="s">
        <v>2635</v>
      </c>
      <c r="J424" s="506" t="s">
        <v>455</v>
      </c>
      <c r="K424" s="522" t="str">
        <f aca="false">IF(J424=A424,"","nix")</f>
        <v/>
      </c>
    </row>
    <row r="425" customFormat="false" ht="15.75" hidden="false" customHeight="true" outlineLevel="0" collapsed="false">
      <c r="A425" s="561" t="s">
        <v>457</v>
      </c>
      <c r="B425" s="520" t="s">
        <v>2636</v>
      </c>
      <c r="C425" s="561" t="s">
        <v>2637</v>
      </c>
      <c r="D425" s="524" t="str">
        <f aca="false">A425&amp;" "&amp;HLOOKUP($C$1,$E$1:$V$4910,ROW(D425))</f>
        <v>IDN Indonesia </v>
      </c>
      <c r="E425" s="562" t="s">
        <v>2638</v>
      </c>
      <c r="F425" s="521" t="s">
        <v>2639</v>
      </c>
      <c r="G425" s="520" t="s">
        <v>2639</v>
      </c>
      <c r="H425" s="520" t="s">
        <v>456</v>
      </c>
      <c r="I425" s="520" t="s">
        <v>2640</v>
      </c>
      <c r="J425" s="506" t="s">
        <v>457</v>
      </c>
      <c r="K425" s="522" t="str">
        <f aca="false">IF(J425=A425,"","nix")</f>
        <v/>
      </c>
    </row>
    <row r="426" customFormat="false" ht="15.75" hidden="false" customHeight="true" outlineLevel="0" collapsed="false">
      <c r="A426" s="561" t="s">
        <v>459</v>
      </c>
      <c r="B426" s="520" t="s">
        <v>2641</v>
      </c>
      <c r="C426" s="561" t="s">
        <v>2642</v>
      </c>
      <c r="D426" s="524" t="str">
        <f aca="false">A426&amp;" "&amp;HLOOKUP($C$1,$E$1:$V$4910,ROW(D426))</f>
        <v>IMN Isle of Man </v>
      </c>
      <c r="E426" s="520" t="s">
        <v>2643</v>
      </c>
      <c r="F426" s="521" t="s">
        <v>2644</v>
      </c>
      <c r="G426" s="520" t="s">
        <v>2645</v>
      </c>
      <c r="H426" s="520" t="s">
        <v>2646</v>
      </c>
      <c r="I426" s="520" t="s">
        <v>2647</v>
      </c>
      <c r="J426" s="506" t="s">
        <v>459</v>
      </c>
      <c r="K426" s="522" t="str">
        <f aca="false">IF(J426=A426,"","nix")</f>
        <v/>
      </c>
    </row>
    <row r="427" customFormat="false" ht="15.75" hidden="false" customHeight="true" outlineLevel="0" collapsed="false">
      <c r="A427" s="561" t="s">
        <v>461</v>
      </c>
      <c r="B427" s="520" t="s">
        <v>2648</v>
      </c>
      <c r="C427" s="561" t="s">
        <v>2649</v>
      </c>
      <c r="D427" s="524" t="str">
        <f aca="false">A427&amp;" "&amp;HLOOKUP($C$1,$E$1:$V$4910,ROW(D427))</f>
        <v>IND India </v>
      </c>
      <c r="E427" s="520" t="s">
        <v>2650</v>
      </c>
      <c r="F427" s="521" t="s">
        <v>2651</v>
      </c>
      <c r="G427" s="520" t="s">
        <v>2651</v>
      </c>
      <c r="H427" s="520" t="s">
        <v>460</v>
      </c>
      <c r="I427" s="520" t="s">
        <v>2652</v>
      </c>
      <c r="J427" s="506" t="s">
        <v>461</v>
      </c>
      <c r="K427" s="522" t="str">
        <f aca="false">IF(J427=A427,"","nix")</f>
        <v/>
      </c>
    </row>
    <row r="428" customFormat="false" ht="15.75" hidden="false" customHeight="true" outlineLevel="0" collapsed="false">
      <c r="A428" s="561" t="s">
        <v>463</v>
      </c>
      <c r="B428" s="520" t="s">
        <v>2653</v>
      </c>
      <c r="C428" s="561" t="s">
        <v>2654</v>
      </c>
      <c r="D428" s="524" t="str">
        <f aca="false">A428&amp;" "&amp;HLOOKUP($C$1,$E$1:$V$4910,ROW(D428))</f>
        <v>IRL Ireland </v>
      </c>
      <c r="E428" s="562" t="s">
        <v>2655</v>
      </c>
      <c r="F428" s="521" t="s">
        <v>2656</v>
      </c>
      <c r="G428" s="520" t="s">
        <v>2657</v>
      </c>
      <c r="H428" s="520" t="s">
        <v>2658</v>
      </c>
      <c r="I428" s="520" t="s">
        <v>2659</v>
      </c>
      <c r="J428" s="506" t="s">
        <v>463</v>
      </c>
      <c r="K428" s="522" t="str">
        <f aca="false">IF(J428=A428,"","nix")</f>
        <v/>
      </c>
    </row>
    <row r="429" customFormat="false" ht="15.75" hidden="false" customHeight="true" outlineLevel="0" collapsed="false">
      <c r="A429" s="561" t="s">
        <v>465</v>
      </c>
      <c r="B429" s="520" t="s">
        <v>2660</v>
      </c>
      <c r="C429" s="561" t="s">
        <v>2661</v>
      </c>
      <c r="D429" s="524" t="str">
        <f aca="false">A429&amp;" "&amp;HLOOKUP($C$1,$E$1:$V$4910,ROW(D429))</f>
        <v>IRN Iran, Islamic Republic of </v>
      </c>
      <c r="E429" s="520" t="s">
        <v>2662</v>
      </c>
      <c r="F429" s="521" t="s">
        <v>2663</v>
      </c>
      <c r="G429" s="520" t="s">
        <v>2664</v>
      </c>
      <c r="H429" s="520" t="s">
        <v>2665</v>
      </c>
      <c r="I429" s="520" t="s">
        <v>2666</v>
      </c>
      <c r="J429" s="506" t="s">
        <v>465</v>
      </c>
      <c r="K429" s="522" t="str">
        <f aca="false">IF(J429=A429,"","nix")</f>
        <v/>
      </c>
    </row>
    <row r="430" customFormat="false" ht="15.75" hidden="false" customHeight="true" outlineLevel="0" collapsed="false">
      <c r="A430" s="561" t="s">
        <v>467</v>
      </c>
      <c r="B430" s="520" t="s">
        <v>2667</v>
      </c>
      <c r="C430" s="561" t="s">
        <v>2668</v>
      </c>
      <c r="D430" s="524" t="str">
        <f aca="false">A430&amp;" "&amp;HLOOKUP($C$1,$E$1:$V$4910,ROW(D430))</f>
        <v>IRQ Iraq </v>
      </c>
      <c r="E430" s="520" t="s">
        <v>2669</v>
      </c>
      <c r="F430" s="521" t="s">
        <v>2670</v>
      </c>
      <c r="G430" s="520" t="s">
        <v>2670</v>
      </c>
      <c r="H430" s="520" t="s">
        <v>2669</v>
      </c>
      <c r="I430" s="520" t="s">
        <v>2669</v>
      </c>
      <c r="J430" s="506" t="s">
        <v>467</v>
      </c>
      <c r="K430" s="522" t="str">
        <f aca="false">IF(J430=A430,"","nix")</f>
        <v/>
      </c>
    </row>
    <row r="431" customFormat="false" ht="15.75" hidden="false" customHeight="true" outlineLevel="0" collapsed="false">
      <c r="A431" s="561" t="s">
        <v>469</v>
      </c>
      <c r="B431" s="520" t="s">
        <v>2671</v>
      </c>
      <c r="C431" s="561" t="s">
        <v>2672</v>
      </c>
      <c r="D431" s="524" t="str">
        <f aca="false">A431&amp;" "&amp;HLOOKUP($C$1,$E$1:$V$4910,ROW(D431))</f>
        <v>ISL Iceland </v>
      </c>
      <c r="E431" s="520" t="s">
        <v>2673</v>
      </c>
      <c r="F431" s="521" t="s">
        <v>2674</v>
      </c>
      <c r="G431" s="520" t="s">
        <v>2675</v>
      </c>
      <c r="H431" s="520" t="s">
        <v>2676</v>
      </c>
      <c r="I431" s="520" t="s">
        <v>2677</v>
      </c>
      <c r="J431" s="506" t="s">
        <v>469</v>
      </c>
      <c r="K431" s="522" t="str">
        <f aca="false">IF(J431=A431,"","nix")</f>
        <v/>
      </c>
    </row>
    <row r="432" customFormat="false" ht="15.75" hidden="false" customHeight="true" outlineLevel="0" collapsed="false">
      <c r="A432" s="561" t="s">
        <v>471</v>
      </c>
      <c r="B432" s="520" t="s">
        <v>2678</v>
      </c>
      <c r="C432" s="561" t="s">
        <v>2679</v>
      </c>
      <c r="D432" s="524" t="str">
        <f aca="false">A432&amp;" "&amp;HLOOKUP($C$1,$E$1:$V$4910,ROW(D432))</f>
        <v>ISR Israel </v>
      </c>
      <c r="E432" s="520" t="s">
        <v>470</v>
      </c>
      <c r="F432" s="521" t="s">
        <v>2680</v>
      </c>
      <c r="G432" s="520" t="s">
        <v>2681</v>
      </c>
      <c r="H432" s="520" t="s">
        <v>470</v>
      </c>
      <c r="I432" s="520" t="s">
        <v>2682</v>
      </c>
      <c r="J432" s="506" t="s">
        <v>471</v>
      </c>
      <c r="K432" s="522" t="str">
        <f aca="false">IF(J432=A432,"","nix")</f>
        <v/>
      </c>
    </row>
    <row r="433" customFormat="false" ht="15.75" hidden="false" customHeight="true" outlineLevel="0" collapsed="false">
      <c r="A433" s="561" t="s">
        <v>473</v>
      </c>
      <c r="B433" s="520" t="s">
        <v>2683</v>
      </c>
      <c r="C433" s="561" t="s">
        <v>2684</v>
      </c>
      <c r="D433" s="524" t="str">
        <f aca="false">A433&amp;" "&amp;HLOOKUP($C$1,$E$1:$V$4910,ROW(D433))</f>
        <v>ITA Italy </v>
      </c>
      <c r="E433" s="520" t="s">
        <v>2685</v>
      </c>
      <c r="F433" s="521" t="s">
        <v>2686</v>
      </c>
      <c r="G433" s="520" t="s">
        <v>2687</v>
      </c>
      <c r="H433" s="520" t="s">
        <v>2688</v>
      </c>
      <c r="I433" s="520" t="s">
        <v>2689</v>
      </c>
      <c r="J433" s="506" t="s">
        <v>473</v>
      </c>
      <c r="K433" s="522" t="str">
        <f aca="false">IF(J433=A433,"","nix")</f>
        <v/>
      </c>
    </row>
    <row r="434" customFormat="false" ht="15.75" hidden="false" customHeight="true" outlineLevel="0" collapsed="false">
      <c r="A434" s="561" t="s">
        <v>475</v>
      </c>
      <c r="B434" s="520" t="s">
        <v>2690</v>
      </c>
      <c r="C434" s="561" t="s">
        <v>2691</v>
      </c>
      <c r="D434" s="524" t="str">
        <f aca="false">A434&amp;" "&amp;HLOOKUP($C$1,$E$1:$V$4910,ROW(D434))</f>
        <v>JAM Jamaica </v>
      </c>
      <c r="E434" s="520" t="s">
        <v>2692</v>
      </c>
      <c r="F434" s="521" t="s">
        <v>2693</v>
      </c>
      <c r="G434" s="520" t="s">
        <v>2694</v>
      </c>
      <c r="H434" s="520" t="s">
        <v>474</v>
      </c>
      <c r="I434" s="520" t="s">
        <v>2695</v>
      </c>
      <c r="J434" s="506" t="s">
        <v>475</v>
      </c>
      <c r="K434" s="522" t="str">
        <f aca="false">IF(J434=A434,"","nix")</f>
        <v/>
      </c>
    </row>
    <row r="435" customFormat="false" ht="15.75" hidden="false" customHeight="true" outlineLevel="0" collapsed="false">
      <c r="A435" s="561" t="s">
        <v>477</v>
      </c>
      <c r="B435" s="520" t="s">
        <v>2696</v>
      </c>
      <c r="C435" s="561" t="s">
        <v>2697</v>
      </c>
      <c r="D435" s="524" t="str">
        <f aca="false">A435&amp;" "&amp;HLOOKUP($C$1,$E$1:$V$4910,ROW(D435))</f>
        <v>JOR Jordan </v>
      </c>
      <c r="E435" s="520" t="s">
        <v>2698</v>
      </c>
      <c r="F435" s="521" t="s">
        <v>2699</v>
      </c>
      <c r="G435" s="520" t="s">
        <v>2700</v>
      </c>
      <c r="H435" s="520" t="s">
        <v>2701</v>
      </c>
      <c r="I435" s="520" t="s">
        <v>2702</v>
      </c>
      <c r="J435" s="506" t="s">
        <v>477</v>
      </c>
      <c r="K435" s="522" t="str">
        <f aca="false">IF(J435=A435,"","nix")</f>
        <v/>
      </c>
    </row>
    <row r="436" customFormat="false" ht="15.75" hidden="false" customHeight="true" outlineLevel="0" collapsed="false">
      <c r="A436" s="561" t="s">
        <v>479</v>
      </c>
      <c r="B436" s="520" t="s">
        <v>2703</v>
      </c>
      <c r="C436" s="561" t="s">
        <v>2704</v>
      </c>
      <c r="D436" s="524" t="str">
        <f aca="false">A436&amp;" "&amp;HLOOKUP($C$1,$E$1:$V$4910,ROW(D436))</f>
        <v>JPN Japan </v>
      </c>
      <c r="E436" s="520" t="s">
        <v>478</v>
      </c>
      <c r="F436" s="521" t="s">
        <v>2705</v>
      </c>
      <c r="G436" s="520" t="s">
        <v>2706</v>
      </c>
      <c r="H436" s="520" t="s">
        <v>2707</v>
      </c>
      <c r="I436" s="520" t="s">
        <v>2708</v>
      </c>
      <c r="J436" s="506" t="s">
        <v>479</v>
      </c>
      <c r="K436" s="522" t="str">
        <f aca="false">IF(J436=A436,"","nix")</f>
        <v/>
      </c>
    </row>
    <row r="437" customFormat="false" ht="15.75" hidden="false" customHeight="true" outlineLevel="0" collapsed="false">
      <c r="A437" s="561" t="s">
        <v>481</v>
      </c>
      <c r="B437" s="520" t="s">
        <v>2709</v>
      </c>
      <c r="C437" s="561" t="s">
        <v>2710</v>
      </c>
      <c r="D437" s="524" t="str">
        <f aca="false">A437&amp;" "&amp;HLOOKUP($C$1,$E$1:$V$4910,ROW(D437))</f>
        <v>KAZ Kazakhstan </v>
      </c>
      <c r="E437" s="520" t="s">
        <v>2711</v>
      </c>
      <c r="F437" s="521" t="s">
        <v>2712</v>
      </c>
      <c r="G437" s="520" t="s">
        <v>2713</v>
      </c>
      <c r="H437" s="520" t="s">
        <v>2714</v>
      </c>
      <c r="I437" s="520" t="s">
        <v>480</v>
      </c>
      <c r="J437" s="506" t="s">
        <v>481</v>
      </c>
      <c r="K437" s="522" t="str">
        <f aca="false">IF(J437=A437,"","nix")</f>
        <v/>
      </c>
    </row>
    <row r="438" customFormat="false" ht="15.75" hidden="false" customHeight="true" outlineLevel="0" collapsed="false">
      <c r="A438" s="561" t="s">
        <v>483</v>
      </c>
      <c r="B438" s="520" t="s">
        <v>2715</v>
      </c>
      <c r="C438" s="561" t="s">
        <v>2716</v>
      </c>
      <c r="D438" s="524" t="str">
        <f aca="false">A438&amp;" "&amp;HLOOKUP($C$1,$E$1:$V$4910,ROW(D438))</f>
        <v>KEN Kenya </v>
      </c>
      <c r="E438" s="520" t="s">
        <v>2717</v>
      </c>
      <c r="F438" s="521" t="s">
        <v>2718</v>
      </c>
      <c r="G438" s="520" t="s">
        <v>2718</v>
      </c>
      <c r="H438" s="520" t="s">
        <v>2717</v>
      </c>
      <c r="I438" s="520" t="s">
        <v>482</v>
      </c>
      <c r="J438" s="506" t="s">
        <v>483</v>
      </c>
      <c r="K438" s="522" t="str">
        <f aca="false">IF(J438=A438,"","nix")</f>
        <v/>
      </c>
    </row>
    <row r="439" customFormat="false" ht="15.75" hidden="false" customHeight="true" outlineLevel="0" collapsed="false">
      <c r="A439" s="561" t="s">
        <v>485</v>
      </c>
      <c r="B439" s="520" t="s">
        <v>2719</v>
      </c>
      <c r="C439" s="561" t="s">
        <v>2720</v>
      </c>
      <c r="D439" s="524" t="str">
        <f aca="false">A439&amp;" "&amp;HLOOKUP($C$1,$E$1:$V$4910,ROW(D439))</f>
        <v>KGZ Kyrgyzstan </v>
      </c>
      <c r="E439" s="520" t="s">
        <v>2721</v>
      </c>
      <c r="F439" s="521" t="s">
        <v>2722</v>
      </c>
      <c r="G439" s="520" t="s">
        <v>2723</v>
      </c>
      <c r="H439" s="520" t="s">
        <v>2724</v>
      </c>
      <c r="I439" s="520" t="s">
        <v>2725</v>
      </c>
      <c r="J439" s="506" t="s">
        <v>485</v>
      </c>
      <c r="K439" s="522" t="str">
        <f aca="false">IF(J439=A439,"","nix")</f>
        <v/>
      </c>
    </row>
    <row r="440" customFormat="false" ht="15.75" hidden="false" customHeight="true" outlineLevel="0" collapsed="false">
      <c r="A440" s="561" t="s">
        <v>487</v>
      </c>
      <c r="B440" s="520" t="s">
        <v>2726</v>
      </c>
      <c r="C440" s="561" t="s">
        <v>2727</v>
      </c>
      <c r="D440" s="524" t="str">
        <f aca="false">A440&amp;" "&amp;HLOOKUP($C$1,$E$1:$V$4910,ROW(D440))</f>
        <v>KHM Cambodia </v>
      </c>
      <c r="E440" s="520" t="s">
        <v>2728</v>
      </c>
      <c r="F440" s="521" t="s">
        <v>2729</v>
      </c>
      <c r="G440" s="520" t="s">
        <v>2730</v>
      </c>
      <c r="H440" s="520" t="s">
        <v>2731</v>
      </c>
      <c r="I440" s="520" t="s">
        <v>2732</v>
      </c>
      <c r="J440" s="506" t="s">
        <v>487</v>
      </c>
      <c r="K440" s="522" t="str">
        <f aca="false">IF(J440=A440,"","nix")</f>
        <v/>
      </c>
    </row>
    <row r="441" customFormat="false" ht="28.5" hidden="false" customHeight="true" outlineLevel="0" collapsed="false">
      <c r="A441" s="561" t="s">
        <v>489</v>
      </c>
      <c r="B441" s="520" t="s">
        <v>2733</v>
      </c>
      <c r="C441" s="561" t="s">
        <v>2734</v>
      </c>
      <c r="D441" s="524" t="str">
        <f aca="false">A441&amp;" "&amp;HLOOKUP($C$1,$E$1:$V$4910,ROW(D441))</f>
        <v>KIR Kiribati </v>
      </c>
      <c r="E441" s="520" t="s">
        <v>488</v>
      </c>
      <c r="F441" s="521" t="s">
        <v>2735</v>
      </c>
      <c r="G441" s="520" t="s">
        <v>2735</v>
      </c>
      <c r="H441" s="520" t="s">
        <v>488</v>
      </c>
      <c r="I441" s="520" t="s">
        <v>488</v>
      </c>
      <c r="J441" s="506" t="s">
        <v>489</v>
      </c>
      <c r="K441" s="522" t="str">
        <f aca="false">IF(J441=A441,"","nix")</f>
        <v/>
      </c>
    </row>
    <row r="442" customFormat="false" ht="15.75" hidden="false" customHeight="true" outlineLevel="0" collapsed="false">
      <c r="A442" s="561" t="s">
        <v>491</v>
      </c>
      <c r="B442" s="520" t="s">
        <v>2736</v>
      </c>
      <c r="C442" s="561" t="s">
        <v>2737</v>
      </c>
      <c r="D442" s="524" t="str">
        <f aca="false">A442&amp;" "&amp;HLOOKUP($C$1,$E$1:$V$4910,ROW(D442))</f>
        <v>KNA Saint Kitts and Nevis </v>
      </c>
      <c r="E442" s="520" t="s">
        <v>2738</v>
      </c>
      <c r="F442" s="521" t="s">
        <v>2739</v>
      </c>
      <c r="G442" s="520" t="s">
        <v>2740</v>
      </c>
      <c r="H442" s="520" t="s">
        <v>2741</v>
      </c>
      <c r="I442" s="520" t="s">
        <v>2742</v>
      </c>
      <c r="J442" s="506" t="s">
        <v>491</v>
      </c>
      <c r="K442" s="522" t="str">
        <f aca="false">IF(J442=A442,"","nix")</f>
        <v/>
      </c>
    </row>
    <row r="443" customFormat="false" ht="15.75" hidden="false" customHeight="true" outlineLevel="0" collapsed="false">
      <c r="A443" s="561" t="s">
        <v>493</v>
      </c>
      <c r="B443" s="520" t="s">
        <v>2743</v>
      </c>
      <c r="C443" s="561" t="s">
        <v>2744</v>
      </c>
      <c r="D443" s="524" t="str">
        <f aca="false">A443&amp;" "&amp;HLOOKUP($C$1,$E$1:$V$4910,ROW(D443))</f>
        <v>KOR Korea, Republic of </v>
      </c>
      <c r="E443" s="520" t="s">
        <v>2745</v>
      </c>
      <c r="F443" s="521" t="s">
        <v>2746</v>
      </c>
      <c r="G443" s="520" t="s">
        <v>2747</v>
      </c>
      <c r="H443" s="520" t="s">
        <v>2748</v>
      </c>
      <c r="I443" s="520" t="s">
        <v>2749</v>
      </c>
      <c r="J443" s="506" t="s">
        <v>493</v>
      </c>
      <c r="K443" s="522" t="str">
        <f aca="false">IF(J443=A443,"","nix")</f>
        <v/>
      </c>
    </row>
    <row r="444" customFormat="false" ht="15.75" hidden="false" customHeight="true" outlineLevel="0" collapsed="false">
      <c r="A444" s="561" t="s">
        <v>495</v>
      </c>
      <c r="B444" s="520" t="s">
        <v>2750</v>
      </c>
      <c r="C444" s="561" t="s">
        <v>2751</v>
      </c>
      <c r="D444" s="524" t="str">
        <f aca="false">A444&amp;" "&amp;HLOOKUP($C$1,$E$1:$V$4910,ROW(D444))</f>
        <v>KWT Kuwait </v>
      </c>
      <c r="E444" s="520" t="s">
        <v>494</v>
      </c>
      <c r="F444" s="521" t="s">
        <v>2752</v>
      </c>
      <c r="G444" s="520" t="s">
        <v>2752</v>
      </c>
      <c r="H444" s="520" t="s">
        <v>494</v>
      </c>
      <c r="I444" s="520" t="s">
        <v>2753</v>
      </c>
      <c r="J444" s="506" t="s">
        <v>495</v>
      </c>
      <c r="K444" s="522" t="str">
        <f aca="false">IF(J444=A444,"","nix")</f>
        <v/>
      </c>
    </row>
    <row r="445" customFormat="false" ht="15.75" hidden="false" customHeight="true" outlineLevel="0" collapsed="false">
      <c r="A445" s="561" t="s">
        <v>497</v>
      </c>
      <c r="B445" s="520" t="s">
        <v>2754</v>
      </c>
      <c r="C445" s="561" t="s">
        <v>2755</v>
      </c>
      <c r="D445" s="524" t="str">
        <f aca="false">A445&amp;" "&amp;HLOOKUP($C$1,$E$1:$V$4910,ROW(D445))</f>
        <v>LAO Lao People's Democratic Republic </v>
      </c>
      <c r="E445" s="520" t="s">
        <v>2756</v>
      </c>
      <c r="F445" s="521" t="s">
        <v>2757</v>
      </c>
      <c r="G445" s="520" t="s">
        <v>2758</v>
      </c>
      <c r="H445" s="520" t="s">
        <v>2759</v>
      </c>
      <c r="I445" s="520" t="s">
        <v>2759</v>
      </c>
      <c r="J445" s="506" t="s">
        <v>497</v>
      </c>
      <c r="K445" s="522" t="str">
        <f aca="false">IF(J445=A445,"","nix")</f>
        <v/>
      </c>
    </row>
    <row r="446" customFormat="false" ht="15.75" hidden="false" customHeight="true" outlineLevel="0" collapsed="false">
      <c r="A446" s="561" t="s">
        <v>499</v>
      </c>
      <c r="B446" s="520" t="s">
        <v>2760</v>
      </c>
      <c r="C446" s="561" t="s">
        <v>2761</v>
      </c>
      <c r="D446" s="524" t="str">
        <f aca="false">A446&amp;" "&amp;HLOOKUP($C$1,$E$1:$V$4910,ROW(D446))</f>
        <v>LBN Lebanon </v>
      </c>
      <c r="E446" s="520" t="s">
        <v>2762</v>
      </c>
      <c r="F446" s="521" t="s">
        <v>2763</v>
      </c>
      <c r="G446" s="520" t="s">
        <v>2764</v>
      </c>
      <c r="H446" s="520" t="s">
        <v>2765</v>
      </c>
      <c r="I446" s="520" t="s">
        <v>2766</v>
      </c>
      <c r="J446" s="506" t="s">
        <v>499</v>
      </c>
      <c r="K446" s="522" t="str">
        <f aca="false">IF(J446=A446,"","nix")</f>
        <v/>
      </c>
    </row>
    <row r="447" customFormat="false" ht="15.75" hidden="false" customHeight="true" outlineLevel="0" collapsed="false">
      <c r="A447" s="561" t="s">
        <v>501</v>
      </c>
      <c r="B447" s="520" t="s">
        <v>2767</v>
      </c>
      <c r="C447" s="561" t="s">
        <v>2768</v>
      </c>
      <c r="D447" s="524" t="str">
        <f aca="false">A447&amp;" "&amp;HLOOKUP($C$1,$E$1:$V$4910,ROW(D447))</f>
        <v>LBR Liberia </v>
      </c>
      <c r="E447" s="520" t="s">
        <v>500</v>
      </c>
      <c r="F447" s="521" t="s">
        <v>2769</v>
      </c>
      <c r="G447" s="520" t="s">
        <v>2769</v>
      </c>
      <c r="H447" s="520" t="s">
        <v>500</v>
      </c>
      <c r="I447" s="520" t="s">
        <v>2770</v>
      </c>
      <c r="J447" s="506" t="s">
        <v>501</v>
      </c>
      <c r="K447" s="522" t="str">
        <f aca="false">IF(J447=A447,"","nix")</f>
        <v/>
      </c>
    </row>
    <row r="448" customFormat="false" ht="15.75" hidden="false" customHeight="true" outlineLevel="0" collapsed="false">
      <c r="A448" s="561" t="s">
        <v>503</v>
      </c>
      <c r="B448" s="520" t="s">
        <v>2771</v>
      </c>
      <c r="C448" s="561" t="s">
        <v>2772</v>
      </c>
      <c r="D448" s="524" t="str">
        <f aca="false">A448&amp;" "&amp;HLOOKUP($C$1,$E$1:$V$4910,ROW(D448))</f>
        <v>LBY Libya </v>
      </c>
      <c r="E448" s="520" t="s">
        <v>2773</v>
      </c>
      <c r="F448" s="521" t="s">
        <v>2774</v>
      </c>
      <c r="G448" s="520" t="s">
        <v>2775</v>
      </c>
      <c r="H448" s="520" t="s">
        <v>2776</v>
      </c>
      <c r="I448" s="520" t="s">
        <v>2777</v>
      </c>
      <c r="J448" s="506" t="s">
        <v>503</v>
      </c>
      <c r="K448" s="522" t="str">
        <f aca="false">IF(J448=A448,"","nix")</f>
        <v/>
      </c>
    </row>
    <row r="449" customFormat="false" ht="15.75" hidden="false" customHeight="true" outlineLevel="0" collapsed="false">
      <c r="A449" s="561" t="s">
        <v>505</v>
      </c>
      <c r="B449" s="520" t="s">
        <v>2778</v>
      </c>
      <c r="C449" s="561" t="s">
        <v>2779</v>
      </c>
      <c r="D449" s="524" t="str">
        <f aca="false">A449&amp;" "&amp;HLOOKUP($C$1,$E$1:$V$4910,ROW(D449))</f>
        <v>LCA Saint Lucia </v>
      </c>
      <c r="E449" s="520" t="s">
        <v>504</v>
      </c>
      <c r="F449" s="521" t="s">
        <v>2780</v>
      </c>
      <c r="G449" s="520" t="s">
        <v>2781</v>
      </c>
      <c r="H449" s="520" t="s">
        <v>2782</v>
      </c>
      <c r="I449" s="520" t="s">
        <v>2783</v>
      </c>
      <c r="J449" s="506" t="s">
        <v>505</v>
      </c>
      <c r="K449" s="522" t="str">
        <f aca="false">IF(J449=A449,"","nix")</f>
        <v/>
      </c>
    </row>
    <row r="450" customFormat="false" ht="15.75" hidden="false" customHeight="true" outlineLevel="0" collapsed="false">
      <c r="A450" s="561" t="s">
        <v>507</v>
      </c>
      <c r="B450" s="520" t="s">
        <v>2784</v>
      </c>
      <c r="C450" s="561" t="s">
        <v>2785</v>
      </c>
      <c r="D450" s="524" t="str">
        <f aca="false">A450&amp;" "&amp;HLOOKUP($C$1,$E$1:$V$4910,ROW(D450))</f>
        <v>LIE Liechtenstein </v>
      </c>
      <c r="E450" s="520" t="s">
        <v>506</v>
      </c>
      <c r="F450" s="521" t="s">
        <v>2786</v>
      </c>
      <c r="G450" s="520" t="s">
        <v>2786</v>
      </c>
      <c r="H450" s="520" t="s">
        <v>506</v>
      </c>
      <c r="I450" s="520" t="s">
        <v>506</v>
      </c>
      <c r="J450" s="506" t="s">
        <v>507</v>
      </c>
      <c r="K450" s="522" t="str">
        <f aca="false">IF(J450=A450,"","nix")</f>
        <v/>
      </c>
    </row>
    <row r="451" customFormat="false" ht="15.75" hidden="false" customHeight="true" outlineLevel="0" collapsed="false">
      <c r="A451" s="561" t="s">
        <v>509</v>
      </c>
      <c r="B451" s="520" t="s">
        <v>2787</v>
      </c>
      <c r="C451" s="561" t="s">
        <v>2788</v>
      </c>
      <c r="D451" s="524" t="str">
        <f aca="false">A451&amp;" "&amp;HLOOKUP($C$1,$E$1:$V$4910,ROW(D451))</f>
        <v>LKA Sri Lanka </v>
      </c>
      <c r="E451" s="520" t="s">
        <v>508</v>
      </c>
      <c r="F451" s="521" t="s">
        <v>2789</v>
      </c>
      <c r="G451" s="520" t="s">
        <v>2789</v>
      </c>
      <c r="H451" s="520" t="s">
        <v>508</v>
      </c>
      <c r="I451" s="520" t="s">
        <v>508</v>
      </c>
      <c r="J451" s="506" t="s">
        <v>509</v>
      </c>
      <c r="K451" s="522" t="str">
        <f aca="false">IF(J451=A451,"","nix")</f>
        <v/>
      </c>
    </row>
    <row r="452" customFormat="false" ht="15.75" hidden="false" customHeight="true" outlineLevel="0" collapsed="false">
      <c r="A452" s="561" t="s">
        <v>511</v>
      </c>
      <c r="B452" s="520" t="s">
        <v>2790</v>
      </c>
      <c r="C452" s="561" t="s">
        <v>2791</v>
      </c>
      <c r="D452" s="524" t="str">
        <f aca="false">A452&amp;" "&amp;HLOOKUP($C$1,$E$1:$V$4910,ROW(D452))</f>
        <v>LSO Lesotho </v>
      </c>
      <c r="E452" s="520" t="s">
        <v>510</v>
      </c>
      <c r="F452" s="521" t="s">
        <v>2792</v>
      </c>
      <c r="G452" s="520" t="s">
        <v>2792</v>
      </c>
      <c r="H452" s="520" t="s">
        <v>2793</v>
      </c>
      <c r="I452" s="520" t="s">
        <v>510</v>
      </c>
      <c r="J452" s="506" t="s">
        <v>511</v>
      </c>
      <c r="K452" s="522" t="str">
        <f aca="false">IF(J452=A452,"","nix")</f>
        <v/>
      </c>
    </row>
    <row r="453" customFormat="false" ht="15.75" hidden="false" customHeight="true" outlineLevel="0" collapsed="false">
      <c r="A453" s="561" t="s">
        <v>513</v>
      </c>
      <c r="B453" s="520" t="s">
        <v>2794</v>
      </c>
      <c r="C453" s="561" t="s">
        <v>2795</v>
      </c>
      <c r="D453" s="524" t="str">
        <f aca="false">A453&amp;" "&amp;HLOOKUP($C$1,$E$1:$V$4910,ROW(D453))</f>
        <v>LTU Lithuania </v>
      </c>
      <c r="E453" s="520" t="s">
        <v>2796</v>
      </c>
      <c r="F453" s="521" t="s">
        <v>2797</v>
      </c>
      <c r="G453" s="520" t="s">
        <v>2798</v>
      </c>
      <c r="H453" s="520" t="s">
        <v>2799</v>
      </c>
      <c r="I453" s="520" t="s">
        <v>2800</v>
      </c>
      <c r="J453" s="506" t="s">
        <v>513</v>
      </c>
      <c r="K453" s="522" t="str">
        <f aca="false">IF(J453=A453,"","nix")</f>
        <v/>
      </c>
    </row>
    <row r="454" customFormat="false" ht="15.75" hidden="false" customHeight="true" outlineLevel="0" collapsed="false">
      <c r="A454" s="561" t="s">
        <v>515</v>
      </c>
      <c r="B454" s="520" t="s">
        <v>2801</v>
      </c>
      <c r="C454" s="561" t="s">
        <v>2802</v>
      </c>
      <c r="D454" s="524" t="str">
        <f aca="false">A454&amp;" "&amp;HLOOKUP($C$1,$E$1:$V$4910,ROW(D454))</f>
        <v>LUX Luxembourg </v>
      </c>
      <c r="E454" s="520" t="s">
        <v>2803</v>
      </c>
      <c r="F454" s="521" t="s">
        <v>2804</v>
      </c>
      <c r="G454" s="520" t="s">
        <v>2805</v>
      </c>
      <c r="H454" s="520" t="s">
        <v>2806</v>
      </c>
      <c r="I454" s="520" t="s">
        <v>514</v>
      </c>
      <c r="J454" s="506" t="s">
        <v>515</v>
      </c>
      <c r="K454" s="522" t="str">
        <f aca="false">IF(J454=A454,"","nix")</f>
        <v/>
      </c>
    </row>
    <row r="455" customFormat="false" ht="15.75" hidden="false" customHeight="true" outlineLevel="0" collapsed="false">
      <c r="A455" s="561" t="s">
        <v>517</v>
      </c>
      <c r="B455" s="520" t="s">
        <v>2807</v>
      </c>
      <c r="C455" s="561" t="s">
        <v>2808</v>
      </c>
      <c r="D455" s="524" t="str">
        <f aca="false">A455&amp;" "&amp;HLOOKUP($C$1,$E$1:$V$4910,ROW(D455))</f>
        <v>LVA Latvia </v>
      </c>
      <c r="E455" s="520" t="s">
        <v>2809</v>
      </c>
      <c r="F455" s="521" t="s">
        <v>2810</v>
      </c>
      <c r="G455" s="520" t="s">
        <v>2811</v>
      </c>
      <c r="H455" s="520" t="s">
        <v>2812</v>
      </c>
      <c r="I455" s="520" t="s">
        <v>2813</v>
      </c>
      <c r="J455" s="506" t="s">
        <v>517</v>
      </c>
      <c r="K455" s="522" t="str">
        <f aca="false">IF(J455=A455,"","nix")</f>
        <v/>
      </c>
    </row>
    <row r="456" customFormat="false" ht="15.75" hidden="false" customHeight="true" outlineLevel="0" collapsed="false">
      <c r="A456" s="561" t="s">
        <v>519</v>
      </c>
      <c r="B456" s="520" t="s">
        <v>2814</v>
      </c>
      <c r="C456" s="561" t="s">
        <v>2815</v>
      </c>
      <c r="D456" s="524" t="str">
        <f aca="false">A456&amp;" "&amp;HLOOKUP($C$1,$E$1:$V$4910,ROW(D456))</f>
        <v>MAC Macao </v>
      </c>
      <c r="E456" s="520" t="s">
        <v>2816</v>
      </c>
      <c r="F456" s="521" t="s">
        <v>2817</v>
      </c>
      <c r="G456" s="520" t="s">
        <v>2817</v>
      </c>
      <c r="H456" s="520" t="s">
        <v>2816</v>
      </c>
      <c r="I456" s="520" t="s">
        <v>2816</v>
      </c>
      <c r="J456" s="506" t="s">
        <v>519</v>
      </c>
      <c r="K456" s="522" t="str">
        <f aca="false">IF(J456=A456,"","nix")</f>
        <v/>
      </c>
    </row>
    <row r="457" customFormat="false" ht="15.75" hidden="false" customHeight="true" outlineLevel="0" collapsed="false">
      <c r="A457" s="561" t="s">
        <v>521</v>
      </c>
      <c r="B457" s="520" t="s">
        <v>2818</v>
      </c>
      <c r="C457" s="561" t="s">
        <v>2819</v>
      </c>
      <c r="D457" s="524" t="str">
        <f aca="false">A457&amp;" "&amp;HLOOKUP($C$1,$E$1:$V$4910,ROW(D457))</f>
        <v>MAF Saint Martin (French part) </v>
      </c>
      <c r="E457" s="520" t="s">
        <v>2820</v>
      </c>
      <c r="F457" s="521" t="s">
        <v>2821</v>
      </c>
      <c r="G457" s="520" t="s">
        <v>2822</v>
      </c>
      <c r="H457" s="520" t="s">
        <v>2823</v>
      </c>
      <c r="I457" s="520" t="s">
        <v>2824</v>
      </c>
      <c r="J457" s="506" t="s">
        <v>521</v>
      </c>
      <c r="K457" s="522" t="str">
        <f aca="false">IF(J457=A457,"","nix")</f>
        <v/>
      </c>
    </row>
    <row r="458" customFormat="false" ht="15.75" hidden="false" customHeight="true" outlineLevel="0" collapsed="false">
      <c r="A458" s="561" t="s">
        <v>523</v>
      </c>
      <c r="B458" s="520" t="s">
        <v>2825</v>
      </c>
      <c r="C458" s="561" t="s">
        <v>2826</v>
      </c>
      <c r="D458" s="524" t="str">
        <f aca="false">A458&amp;" "&amp;HLOOKUP($C$1,$E$1:$V$4910,ROW(D458))</f>
        <v>MAR Morocco </v>
      </c>
      <c r="E458" s="520" t="s">
        <v>2827</v>
      </c>
      <c r="F458" s="521" t="s">
        <v>2828</v>
      </c>
      <c r="G458" s="520" t="s">
        <v>2829</v>
      </c>
      <c r="H458" s="520" t="s">
        <v>2830</v>
      </c>
      <c r="I458" s="520" t="s">
        <v>2831</v>
      </c>
      <c r="J458" s="506" t="s">
        <v>523</v>
      </c>
      <c r="K458" s="522" t="str">
        <f aca="false">IF(J458=A458,"","nix")</f>
        <v/>
      </c>
    </row>
    <row r="459" customFormat="false" ht="15.75" hidden="false" customHeight="true" outlineLevel="0" collapsed="false">
      <c r="A459" s="561" t="s">
        <v>525</v>
      </c>
      <c r="B459" s="520" t="s">
        <v>2832</v>
      </c>
      <c r="C459" s="561" t="s">
        <v>2833</v>
      </c>
      <c r="D459" s="524" t="str">
        <f aca="false">A459&amp;" "&amp;HLOOKUP($C$1,$E$1:$V$4910,ROW(D459))</f>
        <v>MCO Monaco </v>
      </c>
      <c r="E459" s="520" t="s">
        <v>524</v>
      </c>
      <c r="F459" s="521" t="s">
        <v>2834</v>
      </c>
      <c r="G459" s="520" t="s">
        <v>2835</v>
      </c>
      <c r="H459" s="520" t="s">
        <v>2836</v>
      </c>
      <c r="I459" s="520" t="s">
        <v>524</v>
      </c>
      <c r="J459" s="506" t="s">
        <v>525</v>
      </c>
      <c r="K459" s="522" t="str">
        <f aca="false">IF(J459=A459,"","nix")</f>
        <v/>
      </c>
    </row>
    <row r="460" customFormat="false" ht="15.75" hidden="false" customHeight="true" outlineLevel="0" collapsed="false">
      <c r="A460" s="561" t="s">
        <v>527</v>
      </c>
      <c r="B460" s="520" t="s">
        <v>2837</v>
      </c>
      <c r="C460" s="561" t="s">
        <v>2838</v>
      </c>
      <c r="D460" s="524" t="str">
        <f aca="false">A460&amp;" "&amp;HLOOKUP($C$1,$E$1:$V$4910,ROW(D460))</f>
        <v>MDA Moldova, Republic of </v>
      </c>
      <c r="E460" s="520" t="s">
        <v>2839</v>
      </c>
      <c r="F460" s="521" t="s">
        <v>2840</v>
      </c>
      <c r="G460" s="520" t="s">
        <v>2841</v>
      </c>
      <c r="H460" s="520" t="s">
        <v>2842</v>
      </c>
      <c r="I460" s="520" t="s">
        <v>2843</v>
      </c>
      <c r="J460" s="506" t="s">
        <v>527</v>
      </c>
      <c r="K460" s="522" t="str">
        <f aca="false">IF(J460=A460,"","nix")</f>
        <v/>
      </c>
    </row>
    <row r="461" customFormat="false" ht="15.75" hidden="false" customHeight="true" outlineLevel="0" collapsed="false">
      <c r="A461" s="561" t="s">
        <v>529</v>
      </c>
      <c r="B461" s="520" t="s">
        <v>2844</v>
      </c>
      <c r="C461" s="561" t="s">
        <v>2845</v>
      </c>
      <c r="D461" s="524" t="str">
        <f aca="false">A461&amp;" "&amp;HLOOKUP($C$1,$E$1:$V$4910,ROW(D461))</f>
        <v>MDG Madagascar </v>
      </c>
      <c r="E461" s="520" t="s">
        <v>2846</v>
      </c>
      <c r="F461" s="521" t="s">
        <v>2847</v>
      </c>
      <c r="G461" s="520" t="s">
        <v>2847</v>
      </c>
      <c r="H461" s="520" t="s">
        <v>528</v>
      </c>
      <c r="I461" s="520" t="s">
        <v>528</v>
      </c>
      <c r="J461" s="506" t="s">
        <v>529</v>
      </c>
      <c r="K461" s="522" t="str">
        <f aca="false">IF(J461=A461,"","nix")</f>
        <v/>
      </c>
    </row>
    <row r="462" customFormat="false" ht="15.75" hidden="false" customHeight="true" outlineLevel="0" collapsed="false">
      <c r="A462" s="561" t="s">
        <v>531</v>
      </c>
      <c r="B462" s="520" t="s">
        <v>2848</v>
      </c>
      <c r="C462" s="561" t="s">
        <v>2849</v>
      </c>
      <c r="D462" s="524" t="str">
        <f aca="false">A462&amp;" "&amp;HLOOKUP($C$1,$E$1:$V$4910,ROW(D462))</f>
        <v>MDV Maldives </v>
      </c>
      <c r="E462" s="520" t="s">
        <v>2850</v>
      </c>
      <c r="F462" s="521" t="s">
        <v>2851</v>
      </c>
      <c r="G462" s="520" t="s">
        <v>2852</v>
      </c>
      <c r="H462" s="520" t="s">
        <v>2853</v>
      </c>
      <c r="I462" s="520" t="s">
        <v>530</v>
      </c>
      <c r="J462" s="506" t="s">
        <v>531</v>
      </c>
      <c r="K462" s="522" t="str">
        <f aca="false">IF(J462=A462,"","nix")</f>
        <v/>
      </c>
    </row>
    <row r="463" customFormat="false" ht="15.75" hidden="false" customHeight="true" outlineLevel="0" collapsed="false">
      <c r="A463" s="561" t="s">
        <v>533</v>
      </c>
      <c r="B463" s="520" t="s">
        <v>2854</v>
      </c>
      <c r="C463" s="561" t="s">
        <v>2855</v>
      </c>
      <c r="D463" s="524" t="str">
        <f aca="false">A463&amp;" "&amp;HLOOKUP($C$1,$E$1:$V$4910,ROW(D463))</f>
        <v>MEX Mexico </v>
      </c>
      <c r="E463" s="520" t="s">
        <v>2856</v>
      </c>
      <c r="F463" s="521" t="s">
        <v>2857</v>
      </c>
      <c r="G463" s="520" t="s">
        <v>2858</v>
      </c>
      <c r="H463" s="520" t="s">
        <v>2859</v>
      </c>
      <c r="I463" s="520" t="s">
        <v>2860</v>
      </c>
      <c r="J463" s="506" t="s">
        <v>533</v>
      </c>
      <c r="K463" s="522" t="str">
        <f aca="false">IF(J463=A463,"","nix")</f>
        <v/>
      </c>
    </row>
    <row r="464" customFormat="false" ht="15.75" hidden="false" customHeight="true" outlineLevel="0" collapsed="false">
      <c r="A464" s="561" t="s">
        <v>535</v>
      </c>
      <c r="B464" s="520" t="s">
        <v>2861</v>
      </c>
      <c r="C464" s="561" t="s">
        <v>2862</v>
      </c>
      <c r="D464" s="524" t="str">
        <f aca="false">A464&amp;" "&amp;HLOOKUP($C$1,$E$1:$V$4910,ROW(D464))</f>
        <v>MHL Marshall Islands </v>
      </c>
      <c r="E464" s="520" t="s">
        <v>2863</v>
      </c>
      <c r="F464" s="521" t="s">
        <v>2864</v>
      </c>
      <c r="G464" s="520" t="s">
        <v>2865</v>
      </c>
      <c r="H464" s="520" t="s">
        <v>2866</v>
      </c>
      <c r="I464" s="520" t="s">
        <v>2867</v>
      </c>
      <c r="J464" s="506" t="s">
        <v>535</v>
      </c>
      <c r="K464" s="522" t="str">
        <f aca="false">IF(J464=A464,"","nix")</f>
        <v/>
      </c>
    </row>
    <row r="465" customFormat="false" ht="15.75" hidden="false" customHeight="true" outlineLevel="0" collapsed="false">
      <c r="A465" s="561" t="s">
        <v>537</v>
      </c>
      <c r="B465" s="520" t="s">
        <v>2868</v>
      </c>
      <c r="C465" s="561" t="s">
        <v>2869</v>
      </c>
      <c r="D465" s="524" t="str">
        <f aca="false">A465&amp;" "&amp;HLOOKUP($C$1,$E$1:$V$4910,ROW(D465))</f>
        <v>MKD Macedonia, The Former Yugoslav Republic of </v>
      </c>
      <c r="E465" s="520" t="s">
        <v>2870</v>
      </c>
      <c r="F465" s="521" t="s">
        <v>2871</v>
      </c>
      <c r="G465" s="520" t="s">
        <v>2872</v>
      </c>
      <c r="H465" s="520" t="s">
        <v>2873</v>
      </c>
      <c r="I465" s="520" t="s">
        <v>2874</v>
      </c>
      <c r="J465" s="506" t="s">
        <v>537</v>
      </c>
      <c r="K465" s="522" t="str">
        <f aca="false">IF(J465=A465,"","nix")</f>
        <v/>
      </c>
    </row>
    <row r="466" customFormat="false" ht="15.75" hidden="false" customHeight="true" outlineLevel="0" collapsed="false">
      <c r="A466" s="561" t="s">
        <v>539</v>
      </c>
      <c r="B466" s="520" t="s">
        <v>2875</v>
      </c>
      <c r="C466" s="561" t="s">
        <v>2876</v>
      </c>
      <c r="D466" s="524" t="str">
        <f aca="false">A466&amp;" "&amp;HLOOKUP($C$1,$E$1:$V$4910,ROW(D466))</f>
        <v>MLI Mali </v>
      </c>
      <c r="E466" s="520" t="s">
        <v>538</v>
      </c>
      <c r="F466" s="521" t="s">
        <v>2877</v>
      </c>
      <c r="G466" s="520" t="s">
        <v>2877</v>
      </c>
      <c r="H466" s="520" t="s">
        <v>2878</v>
      </c>
      <c r="I466" s="520" t="s">
        <v>538</v>
      </c>
      <c r="J466" s="506" t="s">
        <v>539</v>
      </c>
      <c r="K466" s="522" t="str">
        <f aca="false">IF(J466=A466,"","nix")</f>
        <v/>
      </c>
    </row>
    <row r="467" customFormat="false" ht="15.75" hidden="false" customHeight="true" outlineLevel="0" collapsed="false">
      <c r="A467" s="561" t="s">
        <v>541</v>
      </c>
      <c r="B467" s="520" t="s">
        <v>2879</v>
      </c>
      <c r="C467" s="561" t="s">
        <v>2880</v>
      </c>
      <c r="D467" s="524" t="str">
        <f aca="false">A467&amp;" "&amp;HLOOKUP($C$1,$E$1:$V$4910,ROW(D467))</f>
        <v>MLT Malta </v>
      </c>
      <c r="E467" s="520" t="s">
        <v>540</v>
      </c>
      <c r="F467" s="521" t="s">
        <v>2881</v>
      </c>
      <c r="G467" s="520" t="s">
        <v>2881</v>
      </c>
      <c r="H467" s="520" t="s">
        <v>540</v>
      </c>
      <c r="I467" s="520" t="s">
        <v>2882</v>
      </c>
      <c r="J467" s="506" t="s">
        <v>541</v>
      </c>
      <c r="K467" s="522" t="str">
        <f aca="false">IF(J467=A467,"","nix")</f>
        <v/>
      </c>
    </row>
    <row r="468" customFormat="false" ht="15.75" hidden="false" customHeight="true" outlineLevel="0" collapsed="false">
      <c r="A468" s="561" t="s">
        <v>543</v>
      </c>
      <c r="B468" s="520" t="s">
        <v>2883</v>
      </c>
      <c r="C468" s="561" t="s">
        <v>2884</v>
      </c>
      <c r="D468" s="524" t="str">
        <f aca="false">A468&amp;" "&amp;HLOOKUP($C$1,$E$1:$V$4910,ROW(D468))</f>
        <v>MMR Myanmar </v>
      </c>
      <c r="E468" s="520" t="s">
        <v>2885</v>
      </c>
      <c r="F468" s="521" t="s">
        <v>2886</v>
      </c>
      <c r="G468" s="520" t="s">
        <v>2887</v>
      </c>
      <c r="H468" s="520" t="s">
        <v>2888</v>
      </c>
      <c r="I468" s="520" t="s">
        <v>542</v>
      </c>
      <c r="J468" s="506" t="s">
        <v>543</v>
      </c>
      <c r="K468" s="522" t="str">
        <f aca="false">IF(J468=A468,"","nix")</f>
        <v/>
      </c>
    </row>
    <row r="469" customFormat="false" ht="15.75" hidden="false" customHeight="true" outlineLevel="0" collapsed="false">
      <c r="A469" s="561" t="s">
        <v>545</v>
      </c>
      <c r="B469" s="520" t="s">
        <v>2889</v>
      </c>
      <c r="C469" s="561" t="s">
        <v>2890</v>
      </c>
      <c r="D469" s="524" t="str">
        <f aca="false">A469&amp;" "&amp;HLOOKUP($C$1,$E$1:$V$4910,ROW(D469))</f>
        <v>MNE Montenegro </v>
      </c>
      <c r="E469" s="520" t="s">
        <v>544</v>
      </c>
      <c r="F469" s="521" t="s">
        <v>2891</v>
      </c>
      <c r="G469" s="520" t="s">
        <v>2891</v>
      </c>
      <c r="H469" s="520" t="s">
        <v>544</v>
      </c>
      <c r="I469" s="520" t="s">
        <v>2892</v>
      </c>
      <c r="J469" s="506" t="s">
        <v>545</v>
      </c>
      <c r="K469" s="522" t="str">
        <f aca="false">IF(J469=A469,"","nix")</f>
        <v/>
      </c>
    </row>
    <row r="470" customFormat="false" ht="15.75" hidden="false" customHeight="true" outlineLevel="0" collapsed="false">
      <c r="A470" s="561" t="s">
        <v>547</v>
      </c>
      <c r="B470" s="520" t="s">
        <v>2893</v>
      </c>
      <c r="C470" s="561" t="s">
        <v>2894</v>
      </c>
      <c r="D470" s="524" t="str">
        <f aca="false">A470&amp;" "&amp;HLOOKUP($C$1,$E$1:$V$4910,ROW(D470))</f>
        <v>MNG Mongolia </v>
      </c>
      <c r="E470" s="520" t="s">
        <v>2895</v>
      </c>
      <c r="F470" s="521" t="s">
        <v>2896</v>
      </c>
      <c r="G470" s="520" t="s">
        <v>2896</v>
      </c>
      <c r="H470" s="520" t="s">
        <v>546</v>
      </c>
      <c r="I470" s="520" t="s">
        <v>2897</v>
      </c>
      <c r="J470" s="506" t="s">
        <v>547</v>
      </c>
      <c r="K470" s="522" t="str">
        <f aca="false">IF(J470=A470,"","nix")</f>
        <v/>
      </c>
    </row>
    <row r="471" customFormat="false" ht="15.75" hidden="false" customHeight="true" outlineLevel="0" collapsed="false">
      <c r="A471" s="561" t="s">
        <v>549</v>
      </c>
      <c r="B471" s="520" t="s">
        <v>2898</v>
      </c>
      <c r="C471" s="561" t="s">
        <v>2899</v>
      </c>
      <c r="D471" s="524" t="str">
        <f aca="false">A471&amp;" "&amp;HLOOKUP($C$1,$E$1:$V$4910,ROW(D471))</f>
        <v>MNP Northern Mariana Islands </v>
      </c>
      <c r="E471" s="520" t="s">
        <v>2900</v>
      </c>
      <c r="F471" s="521" t="s">
        <v>2901</v>
      </c>
      <c r="G471" s="520" t="s">
        <v>2902</v>
      </c>
      <c r="H471" s="520" t="s">
        <v>2903</v>
      </c>
      <c r="I471" s="520" t="s">
        <v>2904</v>
      </c>
      <c r="J471" s="506" t="s">
        <v>549</v>
      </c>
      <c r="K471" s="522" t="str">
        <f aca="false">IF(J471=A471,"","nix")</f>
        <v/>
      </c>
    </row>
    <row r="472" customFormat="false" ht="15.75" hidden="false" customHeight="true" outlineLevel="0" collapsed="false">
      <c r="A472" s="561" t="s">
        <v>551</v>
      </c>
      <c r="B472" s="520" t="s">
        <v>2905</v>
      </c>
      <c r="C472" s="561" t="s">
        <v>2906</v>
      </c>
      <c r="D472" s="524" t="str">
        <f aca="false">A472&amp;" "&amp;HLOOKUP($C$1,$E$1:$V$4910,ROW(D472))</f>
        <v>MOZ Mozambique </v>
      </c>
      <c r="E472" s="520" t="s">
        <v>2907</v>
      </c>
      <c r="F472" s="521" t="s">
        <v>2908</v>
      </c>
      <c r="G472" s="520" t="s">
        <v>2909</v>
      </c>
      <c r="H472" s="520" t="s">
        <v>550</v>
      </c>
      <c r="I472" s="520" t="s">
        <v>550</v>
      </c>
      <c r="J472" s="506" t="s">
        <v>551</v>
      </c>
      <c r="K472" s="522" t="str">
        <f aca="false">IF(J472=A472,"","nix")</f>
        <v/>
      </c>
    </row>
    <row r="473" customFormat="false" ht="15.75" hidden="false" customHeight="true" outlineLevel="0" collapsed="false">
      <c r="A473" s="561" t="s">
        <v>553</v>
      </c>
      <c r="B473" s="520" t="s">
        <v>2910</v>
      </c>
      <c r="C473" s="561" t="s">
        <v>2911</v>
      </c>
      <c r="D473" s="524" t="str">
        <f aca="false">A473&amp;" "&amp;HLOOKUP($C$1,$E$1:$V$4910,ROW(D473))</f>
        <v>MRT Mauritania </v>
      </c>
      <c r="E473" s="520" t="s">
        <v>2912</v>
      </c>
      <c r="F473" s="521" t="s">
        <v>2913</v>
      </c>
      <c r="G473" s="520" t="s">
        <v>2913</v>
      </c>
      <c r="H473" s="520" t="s">
        <v>552</v>
      </c>
      <c r="I473" s="520" t="s">
        <v>2914</v>
      </c>
      <c r="J473" s="506" t="s">
        <v>553</v>
      </c>
      <c r="K473" s="522" t="str">
        <f aca="false">IF(J473=A473,"","nix")</f>
        <v/>
      </c>
    </row>
    <row r="474" customFormat="false" ht="15.75" hidden="false" customHeight="true" outlineLevel="0" collapsed="false">
      <c r="A474" s="561" t="s">
        <v>555</v>
      </c>
      <c r="B474" s="520" t="s">
        <v>2915</v>
      </c>
      <c r="C474" s="561" t="s">
        <v>2916</v>
      </c>
      <c r="D474" s="524" t="str">
        <f aca="false">A474&amp;" "&amp;HLOOKUP($C$1,$E$1:$V$4910,ROW(D474))</f>
        <v>MUS Mauritius </v>
      </c>
      <c r="E474" s="520" t="s">
        <v>554</v>
      </c>
      <c r="F474" s="521" t="s">
        <v>2917</v>
      </c>
      <c r="G474" s="520" t="s">
        <v>2917</v>
      </c>
      <c r="H474" s="520" t="s">
        <v>2918</v>
      </c>
      <c r="I474" s="520" t="s">
        <v>2919</v>
      </c>
      <c r="J474" s="506" t="s">
        <v>555</v>
      </c>
      <c r="K474" s="522" t="str">
        <f aca="false">IF(J474=A474,"","nix")</f>
        <v/>
      </c>
    </row>
    <row r="475" customFormat="false" ht="15.75" hidden="false" customHeight="true" outlineLevel="0" collapsed="false">
      <c r="A475" s="561" t="s">
        <v>557</v>
      </c>
      <c r="B475" s="520" t="s">
        <v>2920</v>
      </c>
      <c r="C475" s="561" t="s">
        <v>2921</v>
      </c>
      <c r="D475" s="524" t="str">
        <f aca="false">A475&amp;" "&amp;HLOOKUP($C$1,$E$1:$V$4910,ROW(D475))</f>
        <v>MWI Malawi </v>
      </c>
      <c r="E475" s="520" t="s">
        <v>556</v>
      </c>
      <c r="F475" s="521" t="s">
        <v>2922</v>
      </c>
      <c r="G475" s="520" t="s">
        <v>2922</v>
      </c>
      <c r="H475" s="520" t="s">
        <v>2923</v>
      </c>
      <c r="I475" s="520" t="s">
        <v>556</v>
      </c>
      <c r="J475" s="506" t="s">
        <v>557</v>
      </c>
      <c r="K475" s="522" t="str">
        <f aca="false">IF(J475=A475,"","nix")</f>
        <v/>
      </c>
    </row>
    <row r="476" customFormat="false" ht="15.75" hidden="false" customHeight="true" outlineLevel="0" collapsed="false">
      <c r="A476" s="561" t="s">
        <v>559</v>
      </c>
      <c r="B476" s="520" t="s">
        <v>2924</v>
      </c>
      <c r="C476" s="561" t="s">
        <v>2925</v>
      </c>
      <c r="D476" s="524" t="str">
        <f aca="false">A476&amp;" "&amp;HLOOKUP($C$1,$E$1:$V$4910,ROW(D476))</f>
        <v>MYS Malaysia </v>
      </c>
      <c r="E476" s="520" t="s">
        <v>558</v>
      </c>
      <c r="F476" s="521" t="s">
        <v>2926</v>
      </c>
      <c r="G476" s="520" t="s">
        <v>2927</v>
      </c>
      <c r="H476" s="520" t="s">
        <v>2928</v>
      </c>
      <c r="I476" s="520" t="s">
        <v>2929</v>
      </c>
      <c r="J476" s="506" t="s">
        <v>559</v>
      </c>
      <c r="K476" s="522" t="str">
        <f aca="false">IF(J476=A476,"","nix")</f>
        <v/>
      </c>
    </row>
    <row r="477" customFormat="false" ht="15.75" hidden="false" customHeight="true" outlineLevel="0" collapsed="false">
      <c r="A477" s="561" t="s">
        <v>561</v>
      </c>
      <c r="B477" s="520" t="s">
        <v>2930</v>
      </c>
      <c r="C477" s="561" t="s">
        <v>2931</v>
      </c>
      <c r="D477" s="524" t="str">
        <f aca="false">A477&amp;" "&amp;HLOOKUP($C$1,$E$1:$V$4910,ROW(D477))</f>
        <v>NAM Namibia </v>
      </c>
      <c r="E477" s="520" t="s">
        <v>560</v>
      </c>
      <c r="F477" s="521" t="s">
        <v>2932</v>
      </c>
      <c r="G477" s="520" t="s">
        <v>2932</v>
      </c>
      <c r="H477" s="520" t="s">
        <v>560</v>
      </c>
      <c r="I477" s="520" t="s">
        <v>2933</v>
      </c>
      <c r="J477" s="506" t="s">
        <v>561</v>
      </c>
      <c r="K477" s="522" t="str">
        <f aca="false">IF(J477=A477,"","nix")</f>
        <v/>
      </c>
    </row>
    <row r="478" customFormat="false" ht="15.75" hidden="false" customHeight="true" outlineLevel="0" collapsed="false">
      <c r="A478" s="561" t="s">
        <v>563</v>
      </c>
      <c r="B478" s="520" t="s">
        <v>2934</v>
      </c>
      <c r="C478" s="561" t="s">
        <v>2935</v>
      </c>
      <c r="D478" s="524" t="str">
        <f aca="false">A478&amp;" "&amp;HLOOKUP($C$1,$E$1:$V$4910,ROW(D478))</f>
        <v>NCL New Caledonia </v>
      </c>
      <c r="E478" s="520" t="s">
        <v>2936</v>
      </c>
      <c r="F478" s="521" t="s">
        <v>2937</v>
      </c>
      <c r="G478" s="520" t="s">
        <v>2938</v>
      </c>
      <c r="H478" s="520" t="s">
        <v>2939</v>
      </c>
      <c r="I478" s="520" t="s">
        <v>2940</v>
      </c>
      <c r="J478" s="506" t="s">
        <v>563</v>
      </c>
      <c r="K478" s="522" t="str">
        <f aca="false">IF(J478=A478,"","nix")</f>
        <v/>
      </c>
    </row>
    <row r="479" customFormat="false" ht="15.75" hidden="false" customHeight="true" outlineLevel="0" collapsed="false">
      <c r="A479" s="561" t="s">
        <v>565</v>
      </c>
      <c r="B479" s="520" t="s">
        <v>2941</v>
      </c>
      <c r="C479" s="561" t="s">
        <v>2942</v>
      </c>
      <c r="D479" s="524" t="str">
        <f aca="false">A479&amp;" "&amp;HLOOKUP($C$1,$E$1:$V$4910,ROW(D479))</f>
        <v>NER Niger </v>
      </c>
      <c r="E479" s="520" t="s">
        <v>564</v>
      </c>
      <c r="F479" s="521" t="s">
        <v>2943</v>
      </c>
      <c r="G479" s="520" t="s">
        <v>2943</v>
      </c>
      <c r="H479" s="520" t="s">
        <v>2944</v>
      </c>
      <c r="I479" s="520" t="s">
        <v>564</v>
      </c>
      <c r="J479" s="506" t="s">
        <v>565</v>
      </c>
      <c r="K479" s="522" t="str">
        <f aca="false">IF(J479=A479,"","nix")</f>
        <v/>
      </c>
    </row>
    <row r="480" customFormat="false" ht="15.75" hidden="false" customHeight="true" outlineLevel="0" collapsed="false">
      <c r="A480" s="561" t="s">
        <v>567</v>
      </c>
      <c r="B480" s="520" t="s">
        <v>2945</v>
      </c>
      <c r="C480" s="561" t="s">
        <v>2946</v>
      </c>
      <c r="D480" s="524" t="str">
        <f aca="false">A480&amp;" "&amp;HLOOKUP($C$1,$E$1:$V$4910,ROW(D480))</f>
        <v>NGA Nigeria </v>
      </c>
      <c r="E480" s="520" t="s">
        <v>566</v>
      </c>
      <c r="F480" s="521" t="s">
        <v>2947</v>
      </c>
      <c r="G480" s="520" t="s">
        <v>2947</v>
      </c>
      <c r="H480" s="520" t="s">
        <v>566</v>
      </c>
      <c r="I480" s="520" t="s">
        <v>2948</v>
      </c>
      <c r="J480" s="506" t="s">
        <v>567</v>
      </c>
      <c r="K480" s="522" t="str">
        <f aca="false">IF(J480=A480,"","nix")</f>
        <v/>
      </c>
    </row>
    <row r="481" customFormat="false" ht="15.75" hidden="false" customHeight="true" outlineLevel="0" collapsed="false">
      <c r="A481" s="561" t="s">
        <v>569</v>
      </c>
      <c r="B481" s="520" t="s">
        <v>2949</v>
      </c>
      <c r="C481" s="561" t="s">
        <v>2950</v>
      </c>
      <c r="D481" s="524" t="str">
        <f aca="false">A481&amp;" "&amp;HLOOKUP($C$1,$E$1:$V$4910,ROW(D481))</f>
        <v>NIC Nicaragua </v>
      </c>
      <c r="E481" s="520" t="s">
        <v>568</v>
      </c>
      <c r="F481" s="521" t="s">
        <v>2951</v>
      </c>
      <c r="G481" s="520" t="s">
        <v>2951</v>
      </c>
      <c r="H481" s="520" t="s">
        <v>568</v>
      </c>
      <c r="I481" s="520" t="s">
        <v>568</v>
      </c>
      <c r="J481" s="506" t="s">
        <v>569</v>
      </c>
      <c r="K481" s="522" t="str">
        <f aca="false">IF(J481=A481,"","nix")</f>
        <v/>
      </c>
    </row>
    <row r="482" customFormat="false" ht="15.75" hidden="false" customHeight="true" outlineLevel="0" collapsed="false">
      <c r="A482" s="561" t="s">
        <v>571</v>
      </c>
      <c r="B482" s="520" t="s">
        <v>2952</v>
      </c>
      <c r="C482" s="561" t="s">
        <v>2953</v>
      </c>
      <c r="D482" s="524" t="str">
        <f aca="false">A482&amp;" "&amp;HLOOKUP($C$1,$E$1:$V$4910,ROW(D482))</f>
        <v>NLD Netherlands </v>
      </c>
      <c r="E482" s="520" t="s">
        <v>2954</v>
      </c>
      <c r="F482" s="521" t="s">
        <v>2955</v>
      </c>
      <c r="G482" s="520" t="s">
        <v>2956</v>
      </c>
      <c r="H482" s="520" t="s">
        <v>2957</v>
      </c>
      <c r="I482" s="520" t="s">
        <v>2958</v>
      </c>
      <c r="J482" s="506" t="s">
        <v>571</v>
      </c>
      <c r="K482" s="522" t="str">
        <f aca="false">IF(J482=A482,"","nix")</f>
        <v/>
      </c>
    </row>
    <row r="483" customFormat="false" ht="15.75" hidden="false" customHeight="true" outlineLevel="0" collapsed="false">
      <c r="A483" s="561" t="s">
        <v>573</v>
      </c>
      <c r="B483" s="520" t="s">
        <v>2959</v>
      </c>
      <c r="C483" s="561" t="s">
        <v>2960</v>
      </c>
      <c r="D483" s="524" t="str">
        <f aca="false">A483&amp;" "&amp;HLOOKUP($C$1,$E$1:$V$4910,ROW(D483))</f>
        <v>NOR Norway </v>
      </c>
      <c r="E483" s="520" t="s">
        <v>2961</v>
      </c>
      <c r="F483" s="521" t="s">
        <v>2962</v>
      </c>
      <c r="G483" s="520" t="s">
        <v>2963</v>
      </c>
      <c r="H483" s="520" t="s">
        <v>2964</v>
      </c>
      <c r="I483" s="520" t="s">
        <v>2965</v>
      </c>
      <c r="J483" s="506" t="s">
        <v>573</v>
      </c>
      <c r="K483" s="522" t="str">
        <f aca="false">IF(J483=A483,"","nix")</f>
        <v/>
      </c>
    </row>
    <row r="484" customFormat="false" ht="15.75" hidden="false" customHeight="true" outlineLevel="0" collapsed="false">
      <c r="A484" s="561" t="s">
        <v>575</v>
      </c>
      <c r="B484" s="520" t="s">
        <v>2966</v>
      </c>
      <c r="C484" s="561" t="s">
        <v>2967</v>
      </c>
      <c r="D484" s="524" t="str">
        <f aca="false">A484&amp;" "&amp;HLOOKUP($C$1,$E$1:$V$4910,ROW(D484))</f>
        <v>NPL Nepal </v>
      </c>
      <c r="E484" s="520" t="s">
        <v>574</v>
      </c>
      <c r="F484" s="521" t="s">
        <v>2968</v>
      </c>
      <c r="G484" s="520" t="s">
        <v>2968</v>
      </c>
      <c r="H484" s="520" t="s">
        <v>574</v>
      </c>
      <c r="I484" s="520" t="s">
        <v>2969</v>
      </c>
      <c r="J484" s="506" t="s">
        <v>575</v>
      </c>
      <c r="K484" s="522" t="str">
        <f aca="false">IF(J484=A484,"","nix")</f>
        <v/>
      </c>
    </row>
    <row r="485" customFormat="false" ht="15.75" hidden="false" customHeight="true" outlineLevel="0" collapsed="false">
      <c r="A485" s="561" t="s">
        <v>577</v>
      </c>
      <c r="B485" s="520" t="s">
        <v>2970</v>
      </c>
      <c r="C485" s="561" t="s">
        <v>2971</v>
      </c>
      <c r="D485" s="524" t="str">
        <f aca="false">A485&amp;" "&amp;HLOOKUP($C$1,$E$1:$V$4910,ROW(D485))</f>
        <v>NRU Nauru </v>
      </c>
      <c r="E485" s="520" t="s">
        <v>576</v>
      </c>
      <c r="F485" s="521" t="s">
        <v>2972</v>
      </c>
      <c r="G485" s="520" t="s">
        <v>2972</v>
      </c>
      <c r="H485" s="520" t="s">
        <v>576</v>
      </c>
      <c r="I485" s="520" t="s">
        <v>576</v>
      </c>
      <c r="J485" s="506" t="s">
        <v>577</v>
      </c>
      <c r="K485" s="522" t="str">
        <f aca="false">IF(J485=A485,"","nix")</f>
        <v/>
      </c>
    </row>
    <row r="486" customFormat="false" ht="15.75" hidden="false" customHeight="true" outlineLevel="0" collapsed="false">
      <c r="A486" s="561" t="s">
        <v>579</v>
      </c>
      <c r="B486" s="520" t="s">
        <v>2973</v>
      </c>
      <c r="C486" s="561" t="s">
        <v>2974</v>
      </c>
      <c r="D486" s="524" t="str">
        <f aca="false">A486&amp;" "&amp;HLOOKUP($C$1,$E$1:$V$4910,ROW(D486))</f>
        <v>NZL New Zealand </v>
      </c>
      <c r="E486" s="520" t="s">
        <v>2975</v>
      </c>
      <c r="F486" s="521" t="s">
        <v>2976</v>
      </c>
      <c r="G486" s="520" t="s">
        <v>2977</v>
      </c>
      <c r="H486" s="520" t="s">
        <v>2978</v>
      </c>
      <c r="I486" s="520" t="s">
        <v>2979</v>
      </c>
      <c r="J486" s="506" t="s">
        <v>579</v>
      </c>
      <c r="K486" s="522" t="str">
        <f aca="false">IF(J486=A486,"","nix")</f>
        <v/>
      </c>
    </row>
    <row r="487" customFormat="false" ht="15.75" hidden="false" customHeight="true" outlineLevel="0" collapsed="false">
      <c r="A487" s="561" t="s">
        <v>581</v>
      </c>
      <c r="B487" s="520" t="s">
        <v>2980</v>
      </c>
      <c r="C487" s="561" t="s">
        <v>2981</v>
      </c>
      <c r="D487" s="524" t="str">
        <f aca="false">A487&amp;" "&amp;HLOOKUP($C$1,$E$1:$V$4910,ROW(D487))</f>
        <v>OMN Oman </v>
      </c>
      <c r="E487" s="520" t="s">
        <v>580</v>
      </c>
      <c r="F487" s="521" t="s">
        <v>2982</v>
      </c>
      <c r="G487" s="520" t="s">
        <v>2982</v>
      </c>
      <c r="H487" s="520" t="s">
        <v>2983</v>
      </c>
      <c r="I487" s="520" t="s">
        <v>580</v>
      </c>
      <c r="J487" s="506" t="s">
        <v>581</v>
      </c>
      <c r="K487" s="522" t="str">
        <f aca="false">IF(J487=A487,"","nix")</f>
        <v/>
      </c>
    </row>
    <row r="488" customFormat="false" ht="15.75" hidden="false" customHeight="true" outlineLevel="0" collapsed="false">
      <c r="A488" s="561" t="s">
        <v>583</v>
      </c>
      <c r="B488" s="520" t="s">
        <v>2984</v>
      </c>
      <c r="C488" s="561" t="s">
        <v>2985</v>
      </c>
      <c r="D488" s="524" t="str">
        <f aca="false">A488&amp;" "&amp;HLOOKUP($C$1,$E$1:$V$4910,ROW(D488))</f>
        <v>PAK Pakistan </v>
      </c>
      <c r="E488" s="520" t="s">
        <v>582</v>
      </c>
      <c r="F488" s="521" t="s">
        <v>2986</v>
      </c>
      <c r="G488" s="520" t="s">
        <v>2986</v>
      </c>
      <c r="H488" s="520" t="s">
        <v>2987</v>
      </c>
      <c r="I488" s="520" t="s">
        <v>582</v>
      </c>
      <c r="J488" s="506" t="s">
        <v>583</v>
      </c>
      <c r="K488" s="522" t="str">
        <f aca="false">IF(J488=A488,"","nix")</f>
        <v/>
      </c>
    </row>
    <row r="489" customFormat="false" ht="15.75" hidden="false" customHeight="true" outlineLevel="0" collapsed="false">
      <c r="A489" s="561" t="s">
        <v>585</v>
      </c>
      <c r="B489" s="520" t="s">
        <v>2988</v>
      </c>
      <c r="C489" s="561" t="s">
        <v>2989</v>
      </c>
      <c r="D489" s="524" t="str">
        <f aca="false">A489&amp;" "&amp;HLOOKUP($C$1,$E$1:$V$4910,ROW(D489))</f>
        <v>PAN Panama </v>
      </c>
      <c r="E489" s="520" t="s">
        <v>584</v>
      </c>
      <c r="F489" s="521" t="s">
        <v>2990</v>
      </c>
      <c r="G489" s="520" t="s">
        <v>2991</v>
      </c>
      <c r="H489" s="520" t="s">
        <v>2992</v>
      </c>
      <c r="I489" s="520" t="s">
        <v>584</v>
      </c>
      <c r="J489" s="506" t="s">
        <v>585</v>
      </c>
      <c r="K489" s="522" t="str">
        <f aca="false">IF(J489=A489,"","nix")</f>
        <v/>
      </c>
    </row>
    <row r="490" customFormat="false" ht="15.75" hidden="false" customHeight="true" outlineLevel="0" collapsed="false">
      <c r="A490" s="561" t="s">
        <v>587</v>
      </c>
      <c r="B490" s="520" t="s">
        <v>2993</v>
      </c>
      <c r="C490" s="561" t="s">
        <v>2994</v>
      </c>
      <c r="D490" s="524" t="str">
        <f aca="false">A490&amp;" "&amp;HLOOKUP($C$1,$E$1:$V$4910,ROW(D490))</f>
        <v>PER Peru </v>
      </c>
      <c r="E490" s="520" t="s">
        <v>586</v>
      </c>
      <c r="F490" s="521" t="s">
        <v>2995</v>
      </c>
      <c r="G490" s="520" t="s">
        <v>2996</v>
      </c>
      <c r="H490" s="520" t="s">
        <v>2997</v>
      </c>
      <c r="I490" s="520" t="s">
        <v>2998</v>
      </c>
      <c r="J490" s="506" t="s">
        <v>587</v>
      </c>
      <c r="K490" s="522" t="str">
        <f aca="false">IF(J490=A490,"","nix")</f>
        <v/>
      </c>
    </row>
    <row r="491" customFormat="false" ht="15.75" hidden="false" customHeight="true" outlineLevel="0" collapsed="false">
      <c r="A491" s="561" t="s">
        <v>589</v>
      </c>
      <c r="B491" s="520" t="s">
        <v>2999</v>
      </c>
      <c r="C491" s="561" t="s">
        <v>3000</v>
      </c>
      <c r="D491" s="524" t="str">
        <f aca="false">A491&amp;" "&amp;HLOOKUP($C$1,$E$1:$V$4910,ROW(D491))</f>
        <v>PHL Philippines </v>
      </c>
      <c r="E491" s="520" t="s">
        <v>3001</v>
      </c>
      <c r="F491" s="521" t="s">
        <v>3002</v>
      </c>
      <c r="G491" s="520" t="s">
        <v>3003</v>
      </c>
      <c r="H491" s="520" t="s">
        <v>3004</v>
      </c>
      <c r="I491" s="520" t="s">
        <v>588</v>
      </c>
      <c r="J491" s="506" t="s">
        <v>589</v>
      </c>
      <c r="K491" s="522" t="str">
        <f aca="false">IF(J491=A491,"","nix")</f>
        <v/>
      </c>
    </row>
    <row r="492" customFormat="false" ht="15.75" hidden="false" customHeight="true" outlineLevel="0" collapsed="false">
      <c r="A492" s="561" t="s">
        <v>591</v>
      </c>
      <c r="B492" s="520" t="s">
        <v>3005</v>
      </c>
      <c r="C492" s="561" t="s">
        <v>3006</v>
      </c>
      <c r="D492" s="524" t="str">
        <f aca="false">A492&amp;" "&amp;HLOOKUP($C$1,$E$1:$V$4910,ROW(D492))</f>
        <v>PLW Palau </v>
      </c>
      <c r="E492" s="520" t="s">
        <v>590</v>
      </c>
      <c r="F492" s="521" t="s">
        <v>3007</v>
      </c>
      <c r="G492" s="520" t="s">
        <v>3007</v>
      </c>
      <c r="H492" s="520" t="s">
        <v>3008</v>
      </c>
      <c r="I492" s="520" t="s">
        <v>3008</v>
      </c>
      <c r="J492" s="506" t="s">
        <v>591</v>
      </c>
      <c r="K492" s="522" t="str">
        <f aca="false">IF(J492=A492,"","nix")</f>
        <v/>
      </c>
    </row>
    <row r="493" customFormat="false" ht="15.75" hidden="false" customHeight="true" outlineLevel="0" collapsed="false">
      <c r="A493" s="561" t="s">
        <v>593</v>
      </c>
      <c r="B493" s="520" t="s">
        <v>3009</v>
      </c>
      <c r="C493" s="561" t="s">
        <v>3010</v>
      </c>
      <c r="D493" s="524" t="str">
        <f aca="false">A493&amp;" "&amp;HLOOKUP($C$1,$E$1:$V$4910,ROW(D493))</f>
        <v>PNG Papua New Guinea </v>
      </c>
      <c r="E493" s="520" t="s">
        <v>3011</v>
      </c>
      <c r="F493" s="521" t="s">
        <v>3012</v>
      </c>
      <c r="G493" s="520" t="s">
        <v>3013</v>
      </c>
      <c r="H493" s="520" t="s">
        <v>3014</v>
      </c>
      <c r="I493" s="520" t="s">
        <v>3015</v>
      </c>
      <c r="J493" s="506" t="s">
        <v>593</v>
      </c>
      <c r="K493" s="522" t="str">
        <f aca="false">IF(J493=A493,"","nix")</f>
        <v/>
      </c>
    </row>
    <row r="494" customFormat="false" ht="15.75" hidden="false" customHeight="true" outlineLevel="0" collapsed="false">
      <c r="A494" s="561" t="s">
        <v>595</v>
      </c>
      <c r="B494" s="520" t="s">
        <v>3016</v>
      </c>
      <c r="C494" s="561" t="s">
        <v>3017</v>
      </c>
      <c r="D494" s="524" t="str">
        <f aca="false">A494&amp;" "&amp;HLOOKUP($C$1,$E$1:$V$4910,ROW(D494))</f>
        <v>POL Poland </v>
      </c>
      <c r="E494" s="520" t="s">
        <v>3018</v>
      </c>
      <c r="F494" s="521" t="s">
        <v>3019</v>
      </c>
      <c r="G494" s="520" t="s">
        <v>3020</v>
      </c>
      <c r="H494" s="520" t="s">
        <v>3021</v>
      </c>
      <c r="I494" s="520" t="s">
        <v>3022</v>
      </c>
      <c r="J494" s="506" t="s">
        <v>595</v>
      </c>
      <c r="K494" s="522" t="str">
        <f aca="false">IF(J494=A494,"","nix")</f>
        <v/>
      </c>
    </row>
    <row r="495" customFormat="false" ht="15.75" hidden="false" customHeight="true" outlineLevel="0" collapsed="false">
      <c r="A495" s="561" t="s">
        <v>597</v>
      </c>
      <c r="B495" s="520" t="s">
        <v>3023</v>
      </c>
      <c r="C495" s="561" t="s">
        <v>3024</v>
      </c>
      <c r="D495" s="524" t="str">
        <f aca="false">A495&amp;" "&amp;HLOOKUP($C$1,$E$1:$V$4910,ROW(D495))</f>
        <v>PRI Puerto Rico </v>
      </c>
      <c r="E495" s="520" t="s">
        <v>596</v>
      </c>
      <c r="F495" s="521" t="s">
        <v>3025</v>
      </c>
      <c r="G495" s="520" t="s">
        <v>3026</v>
      </c>
      <c r="H495" s="520" t="s">
        <v>596</v>
      </c>
      <c r="I495" s="520" t="s">
        <v>596</v>
      </c>
      <c r="J495" s="506" t="s">
        <v>597</v>
      </c>
      <c r="K495" s="522" t="str">
        <f aca="false">IF(J495=A495,"","nix")</f>
        <v/>
      </c>
    </row>
    <row r="496" customFormat="false" ht="15.75" hidden="false" customHeight="true" outlineLevel="0" collapsed="false">
      <c r="A496" s="561" t="s">
        <v>599</v>
      </c>
      <c r="B496" s="520" t="s">
        <v>3027</v>
      </c>
      <c r="C496" s="561" t="s">
        <v>3028</v>
      </c>
      <c r="D496" s="524" t="str">
        <f aca="false">A496&amp;" "&amp;HLOOKUP($C$1,$E$1:$V$4910,ROW(D496))</f>
        <v>PRK Korea, Democratic People's Republic of </v>
      </c>
      <c r="E496" s="520" t="s">
        <v>3029</v>
      </c>
      <c r="F496" s="521" t="s">
        <v>3030</v>
      </c>
      <c r="G496" s="520" t="s">
        <v>3031</v>
      </c>
      <c r="H496" s="520" t="s">
        <v>3032</v>
      </c>
      <c r="I496" s="520" t="s">
        <v>3033</v>
      </c>
      <c r="J496" s="506" t="s">
        <v>599</v>
      </c>
      <c r="K496" s="522" t="str">
        <f aca="false">IF(J496=A496,"","nix")</f>
        <v/>
      </c>
    </row>
    <row r="497" customFormat="false" ht="15.75" hidden="false" customHeight="true" outlineLevel="0" collapsed="false">
      <c r="A497" s="561" t="s">
        <v>601</v>
      </c>
      <c r="B497" s="520" t="s">
        <v>3034</v>
      </c>
      <c r="C497" s="561" t="s">
        <v>3035</v>
      </c>
      <c r="D497" s="524" t="str">
        <f aca="false">A497&amp;" "&amp;HLOOKUP($C$1,$E$1:$V$4910,ROW(D497))</f>
        <v>PRT Portugal </v>
      </c>
      <c r="E497" s="520" t="s">
        <v>600</v>
      </c>
      <c r="F497" s="521" t="s">
        <v>3036</v>
      </c>
      <c r="G497" s="520" t="s">
        <v>3037</v>
      </c>
      <c r="H497" s="520" t="s">
        <v>600</v>
      </c>
      <c r="I497" s="520" t="s">
        <v>600</v>
      </c>
      <c r="J497" s="506" t="s">
        <v>601</v>
      </c>
      <c r="K497" s="522" t="str">
        <f aca="false">IF(J497=A497,"","nix")</f>
        <v/>
      </c>
    </row>
    <row r="498" customFormat="false" ht="15.75" hidden="false" customHeight="true" outlineLevel="0" collapsed="false">
      <c r="A498" s="561" t="s">
        <v>603</v>
      </c>
      <c r="B498" s="520" t="s">
        <v>3038</v>
      </c>
      <c r="C498" s="561" t="s">
        <v>3039</v>
      </c>
      <c r="D498" s="524" t="str">
        <f aca="false">A498&amp;" "&amp;HLOOKUP($C$1,$E$1:$V$4910,ROW(D498))</f>
        <v>PRY Paraguay </v>
      </c>
      <c r="E498" s="520" t="s">
        <v>602</v>
      </c>
      <c r="F498" s="521" t="s">
        <v>3040</v>
      </c>
      <c r="G498" s="520" t="s">
        <v>3040</v>
      </c>
      <c r="H498" s="520" t="s">
        <v>602</v>
      </c>
      <c r="I498" s="520" t="s">
        <v>602</v>
      </c>
      <c r="J498" s="506" t="s">
        <v>603</v>
      </c>
      <c r="K498" s="522" t="str">
        <f aca="false">IF(J498=A498,"","nix")</f>
        <v/>
      </c>
    </row>
    <row r="499" customFormat="false" ht="15.75" hidden="false" customHeight="true" outlineLevel="0" collapsed="false">
      <c r="A499" s="561" t="s">
        <v>605</v>
      </c>
      <c r="B499" s="520" t="s">
        <v>3041</v>
      </c>
      <c r="C499" s="561" t="s">
        <v>3042</v>
      </c>
      <c r="D499" s="524" t="str">
        <f aca="false">A499&amp;" "&amp;HLOOKUP($C$1,$E$1:$V$4910,ROW(D499))</f>
        <v>PSE Palestinian Territory, Occupied </v>
      </c>
      <c r="E499" s="520" t="s">
        <v>3043</v>
      </c>
      <c r="F499" s="521" t="s">
        <v>3044</v>
      </c>
      <c r="G499" s="520" t="s">
        <v>3045</v>
      </c>
      <c r="H499" s="520" t="s">
        <v>3046</v>
      </c>
      <c r="I499" s="520" t="s">
        <v>3047</v>
      </c>
      <c r="J499" s="506" t="s">
        <v>605</v>
      </c>
      <c r="K499" s="522" t="str">
        <f aca="false">IF(J499=A499,"","nix")</f>
        <v/>
      </c>
    </row>
    <row r="500" customFormat="false" ht="15.75" hidden="false" customHeight="true" outlineLevel="0" collapsed="false">
      <c r="A500" s="561" t="s">
        <v>607</v>
      </c>
      <c r="B500" s="520" t="s">
        <v>3048</v>
      </c>
      <c r="C500" s="561" t="s">
        <v>3049</v>
      </c>
      <c r="D500" s="524" t="str">
        <f aca="false">A500&amp;" "&amp;HLOOKUP($C$1,$E$1:$V$4910,ROW(D500))</f>
        <v>PYF French Polynesia </v>
      </c>
      <c r="E500" s="520" t="s">
        <v>3050</v>
      </c>
      <c r="F500" s="521" t="s">
        <v>3051</v>
      </c>
      <c r="G500" s="520" t="s">
        <v>3052</v>
      </c>
      <c r="H500" s="520" t="s">
        <v>3053</v>
      </c>
      <c r="I500" s="520" t="s">
        <v>3054</v>
      </c>
      <c r="J500" s="506" t="s">
        <v>607</v>
      </c>
      <c r="K500" s="522" t="str">
        <f aca="false">IF(J500=A500,"","nix")</f>
        <v/>
      </c>
    </row>
    <row r="501" customFormat="false" ht="15.75" hidden="false" customHeight="true" outlineLevel="0" collapsed="false">
      <c r="A501" s="561" t="s">
        <v>609</v>
      </c>
      <c r="B501" s="520" t="s">
        <v>3055</v>
      </c>
      <c r="C501" s="561" t="s">
        <v>3056</v>
      </c>
      <c r="D501" s="524" t="str">
        <f aca="false">A501&amp;" "&amp;HLOOKUP($C$1,$E$1:$V$4910,ROW(D501))</f>
        <v>QAT Qatar </v>
      </c>
      <c r="E501" s="520" t="s">
        <v>3057</v>
      </c>
      <c r="F501" s="521" t="s">
        <v>3058</v>
      </c>
      <c r="G501" s="520" t="s">
        <v>3058</v>
      </c>
      <c r="H501" s="520" t="s">
        <v>3059</v>
      </c>
      <c r="I501" s="520" t="s">
        <v>608</v>
      </c>
      <c r="J501" s="506" t="s">
        <v>609</v>
      </c>
      <c r="K501" s="522" t="str">
        <f aca="false">IF(J501=A501,"","nix")</f>
        <v/>
      </c>
    </row>
    <row r="502" customFormat="false" ht="15.75" hidden="false" customHeight="true" outlineLevel="0" collapsed="false">
      <c r="A502" s="561" t="s">
        <v>611</v>
      </c>
      <c r="B502" s="520" t="s">
        <v>3060</v>
      </c>
      <c r="C502" s="561" t="s">
        <v>3061</v>
      </c>
      <c r="D502" s="524" t="str">
        <f aca="false">A502&amp;" "&amp;HLOOKUP($C$1,$E$1:$V$4910,ROW(D502))</f>
        <v>ROU Romania </v>
      </c>
      <c r="E502" s="520" t="s">
        <v>3062</v>
      </c>
      <c r="F502" s="521" t="s">
        <v>3063</v>
      </c>
      <c r="G502" s="520" t="s">
        <v>3063</v>
      </c>
      <c r="H502" s="520" t="s">
        <v>3064</v>
      </c>
      <c r="I502" s="520" t="s">
        <v>3065</v>
      </c>
      <c r="J502" s="506" t="s">
        <v>611</v>
      </c>
      <c r="K502" s="522" t="str">
        <f aca="false">IF(J502=A502,"","nix")</f>
        <v/>
      </c>
    </row>
    <row r="503" customFormat="false" ht="15.75" hidden="false" customHeight="true" outlineLevel="0" collapsed="false">
      <c r="A503" s="561" t="s">
        <v>613</v>
      </c>
      <c r="B503" s="520" t="s">
        <v>3066</v>
      </c>
      <c r="C503" s="561" t="s">
        <v>3067</v>
      </c>
      <c r="D503" s="524" t="str">
        <f aca="false">A503&amp;" "&amp;HLOOKUP($C$1,$E$1:$V$4910,ROW(D503))</f>
        <v>RUS Russian Federation </v>
      </c>
      <c r="E503" s="520" t="s">
        <v>3068</v>
      </c>
      <c r="F503" s="521" t="s">
        <v>3069</v>
      </c>
      <c r="G503" s="520" t="s">
        <v>3070</v>
      </c>
      <c r="H503" s="520" t="s">
        <v>3071</v>
      </c>
      <c r="I503" s="520" t="s">
        <v>3072</v>
      </c>
      <c r="J503" s="506" t="s">
        <v>613</v>
      </c>
      <c r="K503" s="522" t="str">
        <f aca="false">IF(J503=A503,"","nix")</f>
        <v/>
      </c>
    </row>
    <row r="504" customFormat="false" ht="15.75" hidden="false" customHeight="true" outlineLevel="0" collapsed="false">
      <c r="A504" s="561" t="s">
        <v>615</v>
      </c>
      <c r="B504" s="520" t="s">
        <v>3073</v>
      </c>
      <c r="C504" s="561" t="s">
        <v>3074</v>
      </c>
      <c r="D504" s="524" t="str">
        <f aca="false">A504&amp;" "&amp;HLOOKUP($C$1,$E$1:$V$4910,ROW(D504))</f>
        <v>RWA Rwanda </v>
      </c>
      <c r="E504" s="520" t="s">
        <v>3075</v>
      </c>
      <c r="F504" s="521" t="s">
        <v>3076</v>
      </c>
      <c r="G504" s="520" t="s">
        <v>3077</v>
      </c>
      <c r="H504" s="520" t="s">
        <v>3075</v>
      </c>
      <c r="I504" s="520" t="s">
        <v>614</v>
      </c>
      <c r="J504" s="506" t="s">
        <v>615</v>
      </c>
      <c r="K504" s="522" t="str">
        <f aca="false">IF(J504=A504,"","nix")</f>
        <v/>
      </c>
    </row>
    <row r="505" customFormat="false" ht="15.75" hidden="false" customHeight="true" outlineLevel="0" collapsed="false">
      <c r="A505" s="561" t="s">
        <v>617</v>
      </c>
      <c r="B505" s="520" t="s">
        <v>3078</v>
      </c>
      <c r="C505" s="561" t="s">
        <v>3079</v>
      </c>
      <c r="D505" s="524" t="str">
        <f aca="false">A505&amp;" "&amp;HLOOKUP($C$1,$E$1:$V$4910,ROW(D505))</f>
        <v>SAU Saudi Arabia </v>
      </c>
      <c r="E505" s="520" t="s">
        <v>3080</v>
      </c>
      <c r="F505" s="521" t="s">
        <v>3081</v>
      </c>
      <c r="G505" s="520" t="s">
        <v>3082</v>
      </c>
      <c r="H505" s="520" t="s">
        <v>3083</v>
      </c>
      <c r="I505" s="520" t="s">
        <v>3084</v>
      </c>
      <c r="J505" s="506" t="s">
        <v>617</v>
      </c>
      <c r="K505" s="522" t="str">
        <f aca="false">IF(J505=A505,"","nix")</f>
        <v/>
      </c>
    </row>
    <row r="506" customFormat="false" ht="15.75" hidden="false" customHeight="true" outlineLevel="0" collapsed="false">
      <c r="A506" s="561" t="s">
        <v>619</v>
      </c>
      <c r="B506" s="520" t="s">
        <v>3085</v>
      </c>
      <c r="C506" s="561" t="s">
        <v>3086</v>
      </c>
      <c r="D506" s="524" t="str">
        <f aca="false">A506&amp;" "&amp;HLOOKUP($C$1,$E$1:$V$4910,ROW(D506))</f>
        <v>SDN Sudan </v>
      </c>
      <c r="E506" s="520" t="s">
        <v>618</v>
      </c>
      <c r="F506" s="521" t="s">
        <v>3087</v>
      </c>
      <c r="G506" s="520" t="s">
        <v>3087</v>
      </c>
      <c r="H506" s="520" t="s">
        <v>3088</v>
      </c>
      <c r="I506" s="520" t="s">
        <v>3089</v>
      </c>
      <c r="J506" s="506" t="s">
        <v>619</v>
      </c>
      <c r="K506" s="522" t="str">
        <f aca="false">IF(J506=A506,"","nix")</f>
        <v/>
      </c>
    </row>
    <row r="507" customFormat="false" ht="15.75" hidden="false" customHeight="true" outlineLevel="0" collapsed="false">
      <c r="A507" s="561" t="s">
        <v>621</v>
      </c>
      <c r="B507" s="520" t="s">
        <v>3090</v>
      </c>
      <c r="C507" s="561" t="s">
        <v>3091</v>
      </c>
      <c r="D507" s="524" t="str">
        <f aca="false">A507&amp;" "&amp;HLOOKUP($C$1,$E$1:$V$4910,ROW(D507))</f>
        <v>SEN Senegal </v>
      </c>
      <c r="E507" s="520" t="s">
        <v>620</v>
      </c>
      <c r="F507" s="521" t="s">
        <v>3092</v>
      </c>
      <c r="G507" s="520" t="s">
        <v>3092</v>
      </c>
      <c r="H507" s="520" t="s">
        <v>620</v>
      </c>
      <c r="I507" s="520" t="s">
        <v>3093</v>
      </c>
      <c r="J507" s="506" t="s">
        <v>621</v>
      </c>
      <c r="K507" s="522" t="str">
        <f aca="false">IF(J507=A507,"","nix")</f>
        <v/>
      </c>
    </row>
    <row r="508" customFormat="false" ht="15.75" hidden="false" customHeight="true" outlineLevel="0" collapsed="false">
      <c r="A508" s="561" t="s">
        <v>623</v>
      </c>
      <c r="B508" s="520" t="s">
        <v>3094</v>
      </c>
      <c r="C508" s="561" t="s">
        <v>3095</v>
      </c>
      <c r="D508" s="524" t="str">
        <f aca="false">A508&amp;" "&amp;HLOOKUP($C$1,$E$1:$V$4910,ROW(D508))</f>
        <v>SGP Singapore </v>
      </c>
      <c r="E508" s="520" t="s">
        <v>3096</v>
      </c>
      <c r="F508" s="521" t="s">
        <v>3097</v>
      </c>
      <c r="G508" s="520" t="s">
        <v>3097</v>
      </c>
      <c r="H508" s="520" t="s">
        <v>3096</v>
      </c>
      <c r="I508" s="520" t="s">
        <v>3098</v>
      </c>
      <c r="J508" s="506" t="s">
        <v>623</v>
      </c>
      <c r="K508" s="522" t="str">
        <f aca="false">IF(J508=A508,"","nix")</f>
        <v/>
      </c>
    </row>
    <row r="509" customFormat="false" ht="15.75" hidden="false" customHeight="true" outlineLevel="0" collapsed="false">
      <c r="A509" s="561" t="s">
        <v>625</v>
      </c>
      <c r="B509" s="520" t="s">
        <v>3099</v>
      </c>
      <c r="C509" s="561" t="s">
        <v>3100</v>
      </c>
      <c r="D509" s="524" t="str">
        <f aca="false">A509&amp;" "&amp;HLOOKUP($C$1,$E$1:$V$4910,ROW(D509))</f>
        <v>SLB Solomon Islands </v>
      </c>
      <c r="E509" s="520" t="s">
        <v>3101</v>
      </c>
      <c r="F509" s="521" t="s">
        <v>3102</v>
      </c>
      <c r="G509" s="520" t="s">
        <v>3103</v>
      </c>
      <c r="H509" s="520" t="s">
        <v>3104</v>
      </c>
      <c r="I509" s="520" t="s">
        <v>3105</v>
      </c>
      <c r="J509" s="506" t="s">
        <v>625</v>
      </c>
      <c r="K509" s="522" t="str">
        <f aca="false">IF(J509=A509,"","nix")</f>
        <v/>
      </c>
    </row>
    <row r="510" customFormat="false" ht="15.75" hidden="false" customHeight="true" outlineLevel="0" collapsed="false">
      <c r="A510" s="561" t="s">
        <v>627</v>
      </c>
      <c r="B510" s="520" t="s">
        <v>3106</v>
      </c>
      <c r="C510" s="561" t="s">
        <v>3107</v>
      </c>
      <c r="D510" s="524" t="str">
        <f aca="false">A510&amp;" "&amp;HLOOKUP($C$1,$E$1:$V$4910,ROW(D510))</f>
        <v>SLE Sierra Leone </v>
      </c>
      <c r="E510" s="520" t="s">
        <v>626</v>
      </c>
      <c r="F510" s="521" t="s">
        <v>3108</v>
      </c>
      <c r="G510" s="520" t="s">
        <v>3108</v>
      </c>
      <c r="H510" s="520" t="s">
        <v>3109</v>
      </c>
      <c r="I510" s="520" t="s">
        <v>626</v>
      </c>
      <c r="J510" s="506" t="s">
        <v>627</v>
      </c>
      <c r="K510" s="522" t="str">
        <f aca="false">IF(J510=A510,"","nix")</f>
        <v/>
      </c>
    </row>
    <row r="511" customFormat="false" ht="15.75" hidden="false" customHeight="true" outlineLevel="0" collapsed="false">
      <c r="A511" s="561" t="s">
        <v>629</v>
      </c>
      <c r="B511" s="520" t="s">
        <v>3110</v>
      </c>
      <c r="C511" s="561" t="s">
        <v>3111</v>
      </c>
      <c r="D511" s="524" t="str">
        <f aca="false">A511&amp;" "&amp;HLOOKUP($C$1,$E$1:$V$4910,ROW(D511))</f>
        <v>SLV El Salvador </v>
      </c>
      <c r="E511" s="520" t="s">
        <v>628</v>
      </c>
      <c r="F511" s="521" t="s">
        <v>3112</v>
      </c>
      <c r="G511" s="520" t="s">
        <v>3112</v>
      </c>
      <c r="H511" s="520" t="s">
        <v>628</v>
      </c>
      <c r="I511" s="520" t="s">
        <v>3113</v>
      </c>
      <c r="J511" s="506" t="s">
        <v>629</v>
      </c>
      <c r="K511" s="522" t="str">
        <f aca="false">IF(J511=A511,"","nix")</f>
        <v/>
      </c>
    </row>
    <row r="512" customFormat="false" ht="15.75" hidden="false" customHeight="true" outlineLevel="0" collapsed="false">
      <c r="A512" s="561" t="s">
        <v>631</v>
      </c>
      <c r="B512" s="520" t="s">
        <v>3114</v>
      </c>
      <c r="C512" s="561" t="s">
        <v>3115</v>
      </c>
      <c r="D512" s="524" t="str">
        <f aca="false">A512&amp;" "&amp;HLOOKUP($C$1,$E$1:$V$4910,ROW(D512))</f>
        <v>SMR San Marino </v>
      </c>
      <c r="E512" s="520" t="s">
        <v>630</v>
      </c>
      <c r="F512" s="521" t="s">
        <v>3116</v>
      </c>
      <c r="G512" s="520" t="s">
        <v>3116</v>
      </c>
      <c r="H512" s="520" t="s">
        <v>630</v>
      </c>
      <c r="I512" s="520" t="s">
        <v>3117</v>
      </c>
      <c r="J512" s="506" t="s">
        <v>631</v>
      </c>
      <c r="K512" s="522" t="str">
        <f aca="false">IF(J512=A512,"","nix")</f>
        <v/>
      </c>
    </row>
    <row r="513" customFormat="false" ht="15.75" hidden="false" customHeight="true" outlineLevel="0" collapsed="false">
      <c r="A513" s="561" t="s">
        <v>633</v>
      </c>
      <c r="B513" s="520" t="s">
        <v>3118</v>
      </c>
      <c r="C513" s="561" t="s">
        <v>3119</v>
      </c>
      <c r="D513" s="524" t="str">
        <f aca="false">A513&amp;" "&amp;HLOOKUP($C$1,$E$1:$V$4910,ROW(D513))</f>
        <v>SOM Somalia </v>
      </c>
      <c r="E513" s="520" t="s">
        <v>632</v>
      </c>
      <c r="F513" s="521" t="s">
        <v>3120</v>
      </c>
      <c r="G513" s="520" t="s">
        <v>3120</v>
      </c>
      <c r="H513" s="520" t="s">
        <v>632</v>
      </c>
      <c r="I513" s="520" t="s">
        <v>3121</v>
      </c>
      <c r="J513" s="506" t="s">
        <v>633</v>
      </c>
      <c r="K513" s="522" t="str">
        <f aca="false">IF(J513=A513,"","nix")</f>
        <v/>
      </c>
    </row>
    <row r="514" customFormat="false" ht="15.75" hidden="false" customHeight="true" outlineLevel="0" collapsed="false">
      <c r="A514" s="561" t="s">
        <v>635</v>
      </c>
      <c r="B514" s="520" t="s">
        <v>3122</v>
      </c>
      <c r="C514" s="561" t="s">
        <v>3123</v>
      </c>
      <c r="D514" s="524" t="str">
        <f aca="false">A514&amp;" "&amp;HLOOKUP($C$1,$E$1:$V$4910,ROW(D514))</f>
        <v>SRB Serbia </v>
      </c>
      <c r="E514" s="520" t="s">
        <v>3124</v>
      </c>
      <c r="F514" s="521" t="s">
        <v>3125</v>
      </c>
      <c r="G514" s="520" t="s">
        <v>3125</v>
      </c>
      <c r="H514" s="520" t="s">
        <v>634</v>
      </c>
      <c r="I514" s="520" t="s">
        <v>3126</v>
      </c>
      <c r="J514" s="506" t="s">
        <v>635</v>
      </c>
      <c r="K514" s="522" t="str">
        <f aca="false">IF(J514=A514,"","nix")</f>
        <v/>
      </c>
    </row>
    <row r="515" customFormat="false" ht="15.75" hidden="false" customHeight="true" outlineLevel="0" collapsed="false">
      <c r="A515" s="561" t="s">
        <v>637</v>
      </c>
      <c r="C515" s="561" t="s">
        <v>3127</v>
      </c>
      <c r="D515" s="524" t="str">
        <f aca="false">A515&amp;" "&amp;HLOOKUP($C$1,$E$1:$V$4910,ROW(D515))</f>
        <v>SSD South Sudan </v>
      </c>
      <c r="E515" s="520" t="s">
        <v>3128</v>
      </c>
      <c r="F515" s="521" t="s">
        <v>3129</v>
      </c>
      <c r="G515" s="520" t="s">
        <v>3130</v>
      </c>
      <c r="H515" s="520" t="s">
        <v>3131</v>
      </c>
      <c r="I515" s="520" t="s">
        <v>3132</v>
      </c>
      <c r="J515" s="506" t="s">
        <v>637</v>
      </c>
      <c r="K515" s="522" t="str">
        <f aca="false">IF(J515=A515,"","nix")</f>
        <v/>
      </c>
    </row>
    <row r="516" customFormat="false" ht="15.75" hidden="false" customHeight="true" outlineLevel="0" collapsed="false">
      <c r="A516" s="561" t="s">
        <v>639</v>
      </c>
      <c r="B516" s="520" t="s">
        <v>3133</v>
      </c>
      <c r="C516" s="561" t="s">
        <v>3134</v>
      </c>
      <c r="D516" s="524" t="str">
        <f aca="false">A516&amp;" "&amp;HLOOKUP($C$1,$E$1:$V$4910,ROW(D516))</f>
        <v>STP Sao Tome and Principe </v>
      </c>
      <c r="E516" s="520" t="s">
        <v>3135</v>
      </c>
      <c r="F516" s="521" t="s">
        <v>3136</v>
      </c>
      <c r="G516" s="520" t="s">
        <v>3137</v>
      </c>
      <c r="H516" s="520" t="s">
        <v>3138</v>
      </c>
      <c r="I516" s="520" t="s">
        <v>3139</v>
      </c>
      <c r="J516" s="506" t="s">
        <v>639</v>
      </c>
      <c r="K516" s="522" t="str">
        <f aca="false">IF(J516=A516,"","nix")</f>
        <v/>
      </c>
    </row>
    <row r="517" customFormat="false" ht="15.75" hidden="false" customHeight="true" outlineLevel="0" collapsed="false">
      <c r="A517" s="561" t="s">
        <v>641</v>
      </c>
      <c r="B517" s="520" t="s">
        <v>3140</v>
      </c>
      <c r="C517" s="561" t="s">
        <v>3141</v>
      </c>
      <c r="D517" s="524" t="str">
        <f aca="false">A517&amp;" "&amp;HLOOKUP($C$1,$E$1:$V$4910,ROW(D517))</f>
        <v>SUR Suriname </v>
      </c>
      <c r="E517" s="520" t="s">
        <v>640</v>
      </c>
      <c r="F517" s="521" t="s">
        <v>3142</v>
      </c>
      <c r="G517" s="520" t="s">
        <v>3142</v>
      </c>
      <c r="H517" s="520" t="s">
        <v>3143</v>
      </c>
      <c r="I517" s="520" t="s">
        <v>3143</v>
      </c>
      <c r="J517" s="506" t="s">
        <v>641</v>
      </c>
      <c r="K517" s="522" t="str">
        <f aca="false">IF(J517=A517,"","nix")</f>
        <v/>
      </c>
    </row>
    <row r="518" customFormat="false" ht="15.75" hidden="false" customHeight="true" outlineLevel="0" collapsed="false">
      <c r="A518" s="561" t="s">
        <v>643</v>
      </c>
      <c r="B518" s="520" t="s">
        <v>3144</v>
      </c>
      <c r="C518" s="561" t="s">
        <v>3145</v>
      </c>
      <c r="D518" s="524" t="str">
        <f aca="false">A518&amp;" "&amp;HLOOKUP($C$1,$E$1:$V$4910,ROW(D518))</f>
        <v>SVK Slovakia </v>
      </c>
      <c r="E518" s="520" t="s">
        <v>3146</v>
      </c>
      <c r="F518" s="521" t="s">
        <v>3147</v>
      </c>
      <c r="G518" s="520" t="s">
        <v>3148</v>
      </c>
      <c r="H518" s="520" t="s">
        <v>3149</v>
      </c>
      <c r="I518" s="520" t="s">
        <v>3150</v>
      </c>
      <c r="J518" s="506" t="s">
        <v>643</v>
      </c>
      <c r="K518" s="522" t="str">
        <f aca="false">IF(J518=A518,"","nix")</f>
        <v/>
      </c>
    </row>
    <row r="519" customFormat="false" ht="15.75" hidden="false" customHeight="true" outlineLevel="0" collapsed="false">
      <c r="A519" s="561" t="s">
        <v>645</v>
      </c>
      <c r="B519" s="520" t="s">
        <v>3151</v>
      </c>
      <c r="C519" s="561" t="s">
        <v>3152</v>
      </c>
      <c r="D519" s="524" t="str">
        <f aca="false">A519&amp;" "&amp;HLOOKUP($C$1,$E$1:$V$4910,ROW(D519))</f>
        <v>SVN Slovenia </v>
      </c>
      <c r="E519" s="520" t="s">
        <v>3153</v>
      </c>
      <c r="F519" s="521" t="s">
        <v>3154</v>
      </c>
      <c r="G519" s="520" t="s">
        <v>3154</v>
      </c>
      <c r="H519" s="520" t="s">
        <v>3155</v>
      </c>
      <c r="I519" s="520" t="s">
        <v>3156</v>
      </c>
      <c r="J519" s="506" t="s">
        <v>645</v>
      </c>
      <c r="K519" s="522" t="str">
        <f aca="false">IF(J519=A519,"","nix")</f>
        <v/>
      </c>
    </row>
    <row r="520" customFormat="false" ht="15.75" hidden="false" customHeight="true" outlineLevel="0" collapsed="false">
      <c r="A520" s="561" t="s">
        <v>647</v>
      </c>
      <c r="B520" s="520" t="s">
        <v>3157</v>
      </c>
      <c r="C520" s="561" t="s">
        <v>3158</v>
      </c>
      <c r="D520" s="524" t="str">
        <f aca="false">A520&amp;" "&amp;HLOOKUP($C$1,$E$1:$V$4910,ROW(D520))</f>
        <v>SWE Sweden </v>
      </c>
      <c r="E520" s="520" t="s">
        <v>3159</v>
      </c>
      <c r="F520" s="521" t="s">
        <v>3160</v>
      </c>
      <c r="G520" s="520" t="s">
        <v>3161</v>
      </c>
      <c r="H520" s="520" t="s">
        <v>3162</v>
      </c>
      <c r="I520" s="520" t="s">
        <v>3163</v>
      </c>
      <c r="J520" s="506" t="s">
        <v>647</v>
      </c>
      <c r="K520" s="522" t="str">
        <f aca="false">IF(J520=A520,"","nix")</f>
        <v/>
      </c>
    </row>
    <row r="521" customFormat="false" ht="15.75" hidden="false" customHeight="true" outlineLevel="0" collapsed="false">
      <c r="A521" s="561" t="s">
        <v>649</v>
      </c>
      <c r="B521" s="520" t="s">
        <v>3164</v>
      </c>
      <c r="C521" s="561" t="s">
        <v>3165</v>
      </c>
      <c r="D521" s="524" t="str">
        <f aca="false">A521&amp;" "&amp;HLOOKUP($C$1,$E$1:$V$4910,ROW(D521))</f>
        <v>SWZ Swaziland </v>
      </c>
      <c r="E521" s="520" t="s">
        <v>3166</v>
      </c>
      <c r="F521" s="521" t="s">
        <v>3167</v>
      </c>
      <c r="G521" s="520" t="s">
        <v>3167</v>
      </c>
      <c r="H521" s="520" t="s">
        <v>3168</v>
      </c>
      <c r="I521" s="520" t="s">
        <v>648</v>
      </c>
      <c r="J521" s="506" t="s">
        <v>649</v>
      </c>
      <c r="K521" s="522" t="str">
        <f aca="false">IF(J521=A521,"","nix")</f>
        <v/>
      </c>
    </row>
    <row r="522" customFormat="false" ht="15.75" hidden="false" customHeight="true" outlineLevel="0" collapsed="false">
      <c r="A522" s="561" t="s">
        <v>651</v>
      </c>
      <c r="B522" s="520" t="s">
        <v>3169</v>
      </c>
      <c r="C522" s="561" t="s">
        <v>3170</v>
      </c>
      <c r="D522" s="524" t="str">
        <f aca="false">A522&amp;" "&amp;HLOOKUP($C$1,$E$1:$V$4910,ROW(D522))</f>
        <v>SXM Sint Maarten (Dutch part) </v>
      </c>
      <c r="E522" s="520" t="s">
        <v>3171</v>
      </c>
      <c r="F522" s="521" t="s">
        <v>3172</v>
      </c>
      <c r="G522" s="520" t="s">
        <v>3173</v>
      </c>
      <c r="H522" s="520" t="s">
        <v>3174</v>
      </c>
      <c r="I522" s="520" t="s">
        <v>2824</v>
      </c>
      <c r="J522" s="506" t="s">
        <v>651</v>
      </c>
      <c r="K522" s="522" t="str">
        <f aca="false">IF(J522=A522,"","nix")</f>
        <v/>
      </c>
    </row>
    <row r="523" customFormat="false" ht="15.75" hidden="false" customHeight="true" outlineLevel="0" collapsed="false">
      <c r="A523" s="561" t="s">
        <v>653</v>
      </c>
      <c r="B523" s="520" t="s">
        <v>3175</v>
      </c>
      <c r="C523" s="561" t="s">
        <v>3176</v>
      </c>
      <c r="D523" s="524" t="str">
        <f aca="false">A523&amp;" "&amp;HLOOKUP($C$1,$E$1:$V$4910,ROW(D523))</f>
        <v>SYC Seychelles </v>
      </c>
      <c r="E523" s="520" t="s">
        <v>3177</v>
      </c>
      <c r="F523" s="521" t="s">
        <v>3178</v>
      </c>
      <c r="G523" s="520" t="s">
        <v>3178</v>
      </c>
      <c r="H523" s="520" t="s">
        <v>652</v>
      </c>
      <c r="I523" s="520" t="s">
        <v>652</v>
      </c>
      <c r="J523" s="506" t="s">
        <v>653</v>
      </c>
      <c r="K523" s="522" t="str">
        <f aca="false">IF(J523=A523,"","nix")</f>
        <v/>
      </c>
    </row>
    <row r="524" customFormat="false" ht="15.75" hidden="false" customHeight="true" outlineLevel="0" collapsed="false">
      <c r="A524" s="561" t="s">
        <v>655</v>
      </c>
      <c r="B524" s="520" t="s">
        <v>3179</v>
      </c>
      <c r="C524" s="561" t="s">
        <v>3180</v>
      </c>
      <c r="D524" s="524" t="str">
        <f aca="false">A524&amp;" "&amp;HLOOKUP($C$1,$E$1:$V$4910,ROW(D524))</f>
        <v>SYR Syrian Arab Republic </v>
      </c>
      <c r="E524" s="520" t="s">
        <v>3181</v>
      </c>
      <c r="F524" s="521" t="s">
        <v>3182</v>
      </c>
      <c r="G524" s="520" t="s">
        <v>3183</v>
      </c>
      <c r="H524" s="520" t="s">
        <v>3184</v>
      </c>
      <c r="I524" s="520" t="s">
        <v>3185</v>
      </c>
      <c r="J524" s="506" t="s">
        <v>655</v>
      </c>
      <c r="K524" s="522" t="str">
        <f aca="false">IF(J524=A524,"","nix")</f>
        <v/>
      </c>
    </row>
    <row r="525" customFormat="false" ht="15.75" hidden="false" customHeight="true" outlineLevel="0" collapsed="false">
      <c r="A525" s="561" t="s">
        <v>657</v>
      </c>
      <c r="B525" s="520" t="s">
        <v>3186</v>
      </c>
      <c r="C525" s="561" t="s">
        <v>3187</v>
      </c>
      <c r="D525" s="524" t="str">
        <f aca="false">A525&amp;" "&amp;HLOOKUP($C$1,$E$1:$V$4910,ROW(D525))</f>
        <v>TCA Turks and Caicos Islands </v>
      </c>
      <c r="E525" s="520" t="s">
        <v>3188</v>
      </c>
      <c r="F525" s="521" t="s">
        <v>3189</v>
      </c>
      <c r="G525" s="520" t="s">
        <v>3190</v>
      </c>
      <c r="H525" s="520" t="s">
        <v>3191</v>
      </c>
      <c r="I525" s="520" t="s">
        <v>3192</v>
      </c>
      <c r="J525" s="506" t="s">
        <v>657</v>
      </c>
      <c r="K525" s="522" t="str">
        <f aca="false">IF(J525=A525,"","nix")</f>
        <v/>
      </c>
    </row>
    <row r="526" customFormat="false" ht="15.75" hidden="false" customHeight="true" outlineLevel="0" collapsed="false">
      <c r="A526" s="561" t="s">
        <v>659</v>
      </c>
      <c r="B526" s="520" t="s">
        <v>3193</v>
      </c>
      <c r="C526" s="561" t="s">
        <v>3194</v>
      </c>
      <c r="D526" s="524" t="str">
        <f aca="false">A526&amp;" "&amp;HLOOKUP($C$1,$E$1:$V$4910,ROW(D526))</f>
        <v>TCD Chad </v>
      </c>
      <c r="E526" s="520" t="s">
        <v>3195</v>
      </c>
      <c r="F526" s="521" t="s">
        <v>3196</v>
      </c>
      <c r="G526" s="520" t="s">
        <v>3197</v>
      </c>
      <c r="H526" s="520" t="s">
        <v>658</v>
      </c>
      <c r="I526" s="520" t="s">
        <v>3198</v>
      </c>
      <c r="J526" s="506" t="s">
        <v>659</v>
      </c>
      <c r="K526" s="522" t="str">
        <f aca="false">IF(J526=A526,"","nix")</f>
        <v/>
      </c>
    </row>
    <row r="527" customFormat="false" ht="15.75" hidden="false" customHeight="true" outlineLevel="0" collapsed="false">
      <c r="A527" s="561" t="s">
        <v>661</v>
      </c>
      <c r="B527" s="520" t="s">
        <v>3199</v>
      </c>
      <c r="C527" s="561" t="s">
        <v>3200</v>
      </c>
      <c r="D527" s="524" t="str">
        <f aca="false">A527&amp;" "&amp;HLOOKUP($C$1,$E$1:$V$4910,ROW(D527))</f>
        <v>TGO Togo </v>
      </c>
      <c r="E527" s="520" t="s">
        <v>660</v>
      </c>
      <c r="F527" s="521" t="s">
        <v>3201</v>
      </c>
      <c r="G527" s="520" t="s">
        <v>3201</v>
      </c>
      <c r="H527" s="520" t="s">
        <v>660</v>
      </c>
      <c r="I527" s="520" t="s">
        <v>660</v>
      </c>
      <c r="J527" s="506" t="s">
        <v>661</v>
      </c>
      <c r="K527" s="522" t="str">
        <f aca="false">IF(J527=A527,"","nix")</f>
        <v/>
      </c>
    </row>
    <row r="528" customFormat="false" ht="15.75" hidden="false" customHeight="true" outlineLevel="0" collapsed="false">
      <c r="A528" s="561" t="s">
        <v>663</v>
      </c>
      <c r="B528" s="520" t="s">
        <v>3202</v>
      </c>
      <c r="C528" s="561" t="s">
        <v>3203</v>
      </c>
      <c r="D528" s="524" t="str">
        <f aca="false">A528&amp;" "&amp;HLOOKUP($C$1,$E$1:$V$4910,ROW(D528))</f>
        <v>THA Thailand </v>
      </c>
      <c r="E528" s="520" t="s">
        <v>662</v>
      </c>
      <c r="F528" s="521" t="s">
        <v>3204</v>
      </c>
      <c r="G528" s="520" t="s">
        <v>3205</v>
      </c>
      <c r="H528" s="520" t="s">
        <v>3206</v>
      </c>
      <c r="I528" s="520" t="s">
        <v>3207</v>
      </c>
      <c r="J528" s="506" t="s">
        <v>663</v>
      </c>
      <c r="K528" s="522" t="str">
        <f aca="false">IF(J528=A528,"","nix")</f>
        <v/>
      </c>
    </row>
    <row r="529" customFormat="false" ht="15.75" hidden="false" customHeight="true" outlineLevel="0" collapsed="false">
      <c r="A529" s="561" t="s">
        <v>665</v>
      </c>
      <c r="B529" s="520" t="s">
        <v>3208</v>
      </c>
      <c r="C529" s="561" t="s">
        <v>3209</v>
      </c>
      <c r="D529" s="524" t="str">
        <f aca="false">A529&amp;" "&amp;HLOOKUP($C$1,$E$1:$V$4910,ROW(D529))</f>
        <v>TJK Tajikistan </v>
      </c>
      <c r="E529" s="520" t="s">
        <v>3210</v>
      </c>
      <c r="F529" s="521" t="s">
        <v>3211</v>
      </c>
      <c r="G529" s="520" t="s">
        <v>3212</v>
      </c>
      <c r="H529" s="520" t="s">
        <v>3213</v>
      </c>
      <c r="I529" s="520" t="s">
        <v>664</v>
      </c>
      <c r="J529" s="506" t="s">
        <v>665</v>
      </c>
      <c r="K529" s="522" t="str">
        <f aca="false">IF(J529=A529,"","nix")</f>
        <v/>
      </c>
    </row>
    <row r="530" customFormat="false" ht="15.75" hidden="false" customHeight="true" outlineLevel="0" collapsed="false">
      <c r="A530" s="561" t="s">
        <v>667</v>
      </c>
      <c r="B530" s="520" t="s">
        <v>3214</v>
      </c>
      <c r="C530" s="561" t="s">
        <v>3215</v>
      </c>
      <c r="D530" s="524" t="str">
        <f aca="false">A530&amp;" "&amp;HLOOKUP($C$1,$E$1:$V$4910,ROW(D530))</f>
        <v>TKM Turkmenistan </v>
      </c>
      <c r="E530" s="520" t="s">
        <v>666</v>
      </c>
      <c r="F530" s="521" t="s">
        <v>3216</v>
      </c>
      <c r="G530" s="520" t="s">
        <v>3216</v>
      </c>
      <c r="H530" s="520" t="s">
        <v>3217</v>
      </c>
      <c r="I530" s="520" t="s">
        <v>3218</v>
      </c>
      <c r="J530" s="506" t="s">
        <v>667</v>
      </c>
      <c r="K530" s="522" t="str">
        <f aca="false">IF(J530=A530,"","nix")</f>
        <v/>
      </c>
    </row>
    <row r="531" customFormat="false" ht="15.75" hidden="false" customHeight="true" outlineLevel="0" collapsed="false">
      <c r="A531" s="561" t="s">
        <v>669</v>
      </c>
      <c r="B531" s="520" t="s">
        <v>3219</v>
      </c>
      <c r="C531" s="561" t="s">
        <v>3220</v>
      </c>
      <c r="D531" s="524" t="str">
        <f aca="false">A531&amp;" "&amp;HLOOKUP($C$1,$E$1:$V$4910,ROW(D531))</f>
        <v>TLS Timor-Leste </v>
      </c>
      <c r="E531" s="520" t="s">
        <v>3221</v>
      </c>
      <c r="F531" s="521" t="s">
        <v>3222</v>
      </c>
      <c r="G531" s="520" t="s">
        <v>3223</v>
      </c>
      <c r="H531" s="520" t="s">
        <v>3224</v>
      </c>
      <c r="I531" s="520" t="s">
        <v>3225</v>
      </c>
      <c r="J531" s="506" t="s">
        <v>669</v>
      </c>
      <c r="K531" s="522" t="str">
        <f aca="false">IF(J531=A531,"","nix")</f>
        <v/>
      </c>
    </row>
    <row r="532" customFormat="false" ht="15.75" hidden="false" customHeight="true" outlineLevel="0" collapsed="false">
      <c r="A532" s="561" t="s">
        <v>671</v>
      </c>
      <c r="B532" s="520" t="s">
        <v>3226</v>
      </c>
      <c r="C532" s="561" t="s">
        <v>3227</v>
      </c>
      <c r="D532" s="524" t="str">
        <f aca="false">A532&amp;" "&amp;HLOOKUP($C$1,$E$1:$V$4910,ROW(D532))</f>
        <v>TON Tonga </v>
      </c>
      <c r="E532" s="520" t="s">
        <v>670</v>
      </c>
      <c r="F532" s="521" t="s">
        <v>3228</v>
      </c>
      <c r="G532" s="520" t="s">
        <v>3228</v>
      </c>
      <c r="H532" s="520" t="s">
        <v>670</v>
      </c>
      <c r="I532" s="520" t="s">
        <v>670</v>
      </c>
      <c r="J532" s="506" t="s">
        <v>671</v>
      </c>
      <c r="K532" s="522" t="str">
        <f aca="false">IF(J532=A532,"","nix")</f>
        <v/>
      </c>
    </row>
    <row r="533" customFormat="false" ht="15.75" hidden="false" customHeight="true" outlineLevel="0" collapsed="false">
      <c r="A533" s="561" t="s">
        <v>673</v>
      </c>
      <c r="B533" s="520" t="s">
        <v>3229</v>
      </c>
      <c r="C533" s="561" t="s">
        <v>3230</v>
      </c>
      <c r="D533" s="524" t="str">
        <f aca="false">A533&amp;" "&amp;HLOOKUP($C$1,$E$1:$V$4910,ROW(D533))</f>
        <v>TTO Trinidad and Tobago </v>
      </c>
      <c r="E533" s="520" t="s">
        <v>3231</v>
      </c>
      <c r="F533" s="521" t="s">
        <v>3232</v>
      </c>
      <c r="G533" s="520" t="s">
        <v>3233</v>
      </c>
      <c r="H533" s="520" t="s">
        <v>3234</v>
      </c>
      <c r="I533" s="520" t="s">
        <v>3235</v>
      </c>
      <c r="J533" s="506" t="s">
        <v>673</v>
      </c>
      <c r="K533" s="522" t="str">
        <f aca="false">IF(J533=A533,"","nix")</f>
        <v/>
      </c>
    </row>
    <row r="534" customFormat="false" ht="15.75" hidden="false" customHeight="true" outlineLevel="0" collapsed="false">
      <c r="A534" s="561" t="s">
        <v>675</v>
      </c>
      <c r="B534" s="520" t="s">
        <v>3236</v>
      </c>
      <c r="C534" s="561" t="s">
        <v>3237</v>
      </c>
      <c r="D534" s="524" t="str">
        <f aca="false">A534&amp;" "&amp;HLOOKUP($C$1,$E$1:$V$4910,ROW(D534))</f>
        <v>TUN Tunisia </v>
      </c>
      <c r="E534" s="520" t="s">
        <v>3238</v>
      </c>
      <c r="F534" s="521" t="s">
        <v>3239</v>
      </c>
      <c r="G534" s="520" t="s">
        <v>3239</v>
      </c>
      <c r="H534" s="520" t="s">
        <v>3240</v>
      </c>
      <c r="I534" s="520" t="s">
        <v>3241</v>
      </c>
      <c r="J534" s="506" t="s">
        <v>675</v>
      </c>
      <c r="K534" s="522" t="str">
        <f aca="false">IF(J534=A534,"","nix")</f>
        <v/>
      </c>
    </row>
    <row r="535" customFormat="false" ht="15.75" hidden="false" customHeight="true" outlineLevel="0" collapsed="false">
      <c r="A535" s="561" t="s">
        <v>677</v>
      </c>
      <c r="B535" s="520" t="s">
        <v>3242</v>
      </c>
      <c r="C535" s="561" t="s">
        <v>3243</v>
      </c>
      <c r="D535" s="524" t="str">
        <f aca="false">A535&amp;" "&amp;HLOOKUP($C$1,$E$1:$V$4910,ROW(D535))</f>
        <v>TUR Turkey </v>
      </c>
      <c r="E535" s="520" t="s">
        <v>3244</v>
      </c>
      <c r="F535" s="521" t="s">
        <v>3245</v>
      </c>
      <c r="G535" s="520" t="s">
        <v>3246</v>
      </c>
      <c r="H535" s="520" t="s">
        <v>3247</v>
      </c>
      <c r="I535" s="520" t="s">
        <v>3248</v>
      </c>
      <c r="J535" s="506" t="s">
        <v>677</v>
      </c>
      <c r="K535" s="522" t="str">
        <f aca="false">IF(J535=A535,"","nix")</f>
        <v/>
      </c>
    </row>
    <row r="536" customFormat="false" ht="15.75" hidden="false" customHeight="true" outlineLevel="0" collapsed="false">
      <c r="A536" s="561" t="s">
        <v>679</v>
      </c>
      <c r="B536" s="520" t="s">
        <v>3249</v>
      </c>
      <c r="C536" s="561" t="s">
        <v>3250</v>
      </c>
      <c r="D536" s="524" t="str">
        <f aca="false">A536&amp;" "&amp;HLOOKUP($C$1,$E$1:$V$4910,ROW(D536))</f>
        <v>TUV Tuvalu </v>
      </c>
      <c r="E536" s="520" t="s">
        <v>678</v>
      </c>
      <c r="F536" s="521" t="s">
        <v>3251</v>
      </c>
      <c r="G536" s="520" t="s">
        <v>3251</v>
      </c>
      <c r="H536" s="520" t="s">
        <v>678</v>
      </c>
      <c r="I536" s="520" t="s">
        <v>678</v>
      </c>
      <c r="J536" s="506" t="s">
        <v>679</v>
      </c>
      <c r="K536" s="522" t="str">
        <f aca="false">IF(J536=A536,"","nix")</f>
        <v/>
      </c>
    </row>
    <row r="537" customFormat="false" ht="15.75" hidden="false" customHeight="true" outlineLevel="0" collapsed="false">
      <c r="A537" s="561" t="s">
        <v>681</v>
      </c>
      <c r="B537" s="520" t="s">
        <v>3252</v>
      </c>
      <c r="C537" s="561" t="s">
        <v>3253</v>
      </c>
      <c r="D537" s="524" t="str">
        <f aca="false">A537&amp;" "&amp;HLOOKUP($C$1,$E$1:$V$4910,ROW(D537))</f>
        <v>TZA Tanzania, United Republic of </v>
      </c>
      <c r="E537" s="520" t="s">
        <v>3254</v>
      </c>
      <c r="F537" s="521" t="s">
        <v>3255</v>
      </c>
      <c r="G537" s="520" t="s">
        <v>3256</v>
      </c>
      <c r="H537" s="520" t="s">
        <v>680</v>
      </c>
      <c r="I537" s="520" t="s">
        <v>3257</v>
      </c>
      <c r="J537" s="506" t="s">
        <v>681</v>
      </c>
      <c r="K537" s="522" t="str">
        <f aca="false">IF(J537=A537,"","nix")</f>
        <v/>
      </c>
    </row>
    <row r="538" customFormat="false" ht="15.75" hidden="false" customHeight="true" outlineLevel="0" collapsed="false">
      <c r="A538" s="561" t="s">
        <v>683</v>
      </c>
      <c r="B538" s="520" t="s">
        <v>3258</v>
      </c>
      <c r="C538" s="561" t="s">
        <v>3259</v>
      </c>
      <c r="D538" s="524" t="str">
        <f aca="false">A538&amp;" "&amp;HLOOKUP($C$1,$E$1:$V$4910,ROW(D538))</f>
        <v>UGA Uganda </v>
      </c>
      <c r="E538" s="520" t="s">
        <v>682</v>
      </c>
      <c r="F538" s="521" t="s">
        <v>3260</v>
      </c>
      <c r="G538" s="520" t="s">
        <v>3260</v>
      </c>
      <c r="H538" s="520" t="s">
        <v>682</v>
      </c>
      <c r="I538" s="520" t="s">
        <v>3261</v>
      </c>
      <c r="J538" s="506" t="s">
        <v>683</v>
      </c>
      <c r="K538" s="522" t="str">
        <f aca="false">IF(J538=A538,"","nix")</f>
        <v/>
      </c>
    </row>
    <row r="539" customFormat="false" ht="15.75" hidden="false" customHeight="true" outlineLevel="0" collapsed="false">
      <c r="A539" s="561" t="s">
        <v>685</v>
      </c>
      <c r="B539" s="520" t="s">
        <v>3262</v>
      </c>
      <c r="C539" s="561" t="s">
        <v>3263</v>
      </c>
      <c r="D539" s="524" t="str">
        <f aca="false">A539&amp;" "&amp;HLOOKUP($C$1,$E$1:$V$4910,ROW(D539))</f>
        <v>UKR Ukraine </v>
      </c>
      <c r="E539" s="520" t="s">
        <v>684</v>
      </c>
      <c r="F539" s="521" t="s">
        <v>3264</v>
      </c>
      <c r="G539" s="520" t="s">
        <v>3265</v>
      </c>
      <c r="H539" s="520" t="s">
        <v>3266</v>
      </c>
      <c r="I539" s="520" t="s">
        <v>684</v>
      </c>
      <c r="J539" s="506" t="s">
        <v>685</v>
      </c>
      <c r="K539" s="522" t="str">
        <f aca="false">IF(J539=A539,"","nix")</f>
        <v/>
      </c>
    </row>
    <row r="540" customFormat="false" ht="15.75" hidden="false" customHeight="true" outlineLevel="0" collapsed="false">
      <c r="A540" s="561" t="s">
        <v>687</v>
      </c>
      <c r="B540" s="520" t="s">
        <v>3267</v>
      </c>
      <c r="C540" s="561" t="s">
        <v>3268</v>
      </c>
      <c r="D540" s="524" t="str">
        <f aca="false">A540&amp;" "&amp;HLOOKUP($C$1,$E$1:$V$4910,ROW(D540))</f>
        <v>URY Uruguay </v>
      </c>
      <c r="E540" s="520" t="s">
        <v>686</v>
      </c>
      <c r="F540" s="521" t="s">
        <v>3269</v>
      </c>
      <c r="G540" s="520" t="s">
        <v>3269</v>
      </c>
      <c r="H540" s="520" t="s">
        <v>686</v>
      </c>
      <c r="I540" s="520" t="s">
        <v>686</v>
      </c>
      <c r="J540" s="506" t="s">
        <v>687</v>
      </c>
      <c r="K540" s="522" t="str">
        <f aca="false">IF(J540=A540,"","nix")</f>
        <v/>
      </c>
    </row>
    <row r="541" customFormat="false" ht="15.75" hidden="false" customHeight="true" outlineLevel="0" collapsed="false">
      <c r="A541" s="561" t="s">
        <v>689</v>
      </c>
      <c r="B541" s="520" t="s">
        <v>3270</v>
      </c>
      <c r="C541" s="561" t="s">
        <v>3271</v>
      </c>
      <c r="D541" s="524" t="str">
        <f aca="false">A541&amp;" "&amp;HLOOKUP($C$1,$E$1:$V$4910,ROW(D541))</f>
        <v>USA United States </v>
      </c>
      <c r="E541" s="520" t="s">
        <v>3272</v>
      </c>
      <c r="F541" s="521" t="s">
        <v>3273</v>
      </c>
      <c r="G541" s="520" t="s">
        <v>3274</v>
      </c>
      <c r="H541" s="520" t="s">
        <v>3275</v>
      </c>
      <c r="I541" s="520" t="s">
        <v>3276</v>
      </c>
      <c r="J541" s="506" t="s">
        <v>689</v>
      </c>
      <c r="K541" s="522" t="str">
        <f aca="false">IF(J541=A541,"","nix")</f>
        <v/>
      </c>
    </row>
    <row r="542" customFormat="false" ht="15.75" hidden="false" customHeight="true" outlineLevel="0" collapsed="false">
      <c r="A542" s="561" t="s">
        <v>691</v>
      </c>
      <c r="B542" s="520" t="s">
        <v>3277</v>
      </c>
      <c r="C542" s="561" t="s">
        <v>3278</v>
      </c>
      <c r="D542" s="524" t="str">
        <f aca="false">A542&amp;" "&amp;HLOOKUP($C$1,$E$1:$V$4910,ROW(D542))</f>
        <v>UZB Uzbekistan </v>
      </c>
      <c r="E542" s="520" t="s">
        <v>3279</v>
      </c>
      <c r="F542" s="521" t="s">
        <v>3280</v>
      </c>
      <c r="G542" s="520" t="s">
        <v>3280</v>
      </c>
      <c r="H542" s="520" t="s">
        <v>3281</v>
      </c>
      <c r="I542" s="520" t="s">
        <v>3282</v>
      </c>
      <c r="J542" s="506" t="s">
        <v>691</v>
      </c>
      <c r="K542" s="522" t="str">
        <f aca="false">IF(J542=A542,"","nix")</f>
        <v/>
      </c>
    </row>
    <row r="543" customFormat="false" ht="15.75" hidden="false" customHeight="true" outlineLevel="0" collapsed="false">
      <c r="A543" s="561" t="s">
        <v>693</v>
      </c>
      <c r="B543" s="520" t="s">
        <v>3283</v>
      </c>
      <c r="C543" s="561" t="s">
        <v>3284</v>
      </c>
      <c r="D543" s="524" t="str">
        <f aca="false">A543&amp;" "&amp;HLOOKUP($C$1,$E$1:$V$4910,ROW(D543))</f>
        <v>VCT Saint Vincent and the Grenadines </v>
      </c>
      <c r="E543" s="520" t="s">
        <v>3285</v>
      </c>
      <c r="F543" s="521" t="s">
        <v>3286</v>
      </c>
      <c r="G543" s="520" t="s">
        <v>3287</v>
      </c>
      <c r="H543" s="520" t="s">
        <v>3288</v>
      </c>
      <c r="I543" s="520" t="s">
        <v>3289</v>
      </c>
      <c r="J543" s="506" t="s">
        <v>693</v>
      </c>
      <c r="K543" s="522" t="str">
        <f aca="false">IF(J543=A543,"","nix")</f>
        <v/>
      </c>
    </row>
    <row r="544" customFormat="false" ht="15.75" hidden="false" customHeight="true" outlineLevel="0" collapsed="false">
      <c r="A544" s="561" t="s">
        <v>695</v>
      </c>
      <c r="B544" s="520" t="s">
        <v>3290</v>
      </c>
      <c r="C544" s="561" t="s">
        <v>3291</v>
      </c>
      <c r="D544" s="524" t="str">
        <f aca="false">A544&amp;" "&amp;HLOOKUP($C$1,$E$1:$V$4910,ROW(D544))</f>
        <v>VEN Venezuela, Bolivarian Republic of </v>
      </c>
      <c r="E544" s="520" t="s">
        <v>3292</v>
      </c>
      <c r="F544" s="521" t="s">
        <v>3293</v>
      </c>
      <c r="G544" s="520" t="s">
        <v>3294</v>
      </c>
      <c r="H544" s="520" t="s">
        <v>3292</v>
      </c>
      <c r="I544" s="520" t="s">
        <v>3295</v>
      </c>
      <c r="J544" s="506" t="s">
        <v>695</v>
      </c>
      <c r="K544" s="522" t="str">
        <f aca="false">IF(J544=A544,"","nix")</f>
        <v/>
      </c>
    </row>
    <row r="545" customFormat="false" ht="15.75" hidden="false" customHeight="true" outlineLevel="0" collapsed="false">
      <c r="A545" s="561" t="s">
        <v>697</v>
      </c>
      <c r="B545" s="520" t="s">
        <v>3296</v>
      </c>
      <c r="C545" s="561" t="s">
        <v>3297</v>
      </c>
      <c r="D545" s="524" t="str">
        <f aca="false">A545&amp;" "&amp;HLOOKUP($C$1,$E$1:$V$4910,ROW(D545))</f>
        <v>VGB Virgin Islands, British </v>
      </c>
      <c r="E545" s="520" t="s">
        <v>3298</v>
      </c>
      <c r="F545" s="521" t="s">
        <v>3299</v>
      </c>
      <c r="G545" s="520" t="s">
        <v>3300</v>
      </c>
      <c r="H545" s="520" t="s">
        <v>3301</v>
      </c>
      <c r="I545" s="520" t="s">
        <v>3302</v>
      </c>
      <c r="J545" s="506" t="s">
        <v>697</v>
      </c>
      <c r="K545" s="522" t="str">
        <f aca="false">IF(J545=A545,"","nix")</f>
        <v/>
      </c>
    </row>
    <row r="546" customFormat="false" ht="15.75" hidden="false" customHeight="true" outlineLevel="0" collapsed="false">
      <c r="A546" s="561" t="s">
        <v>699</v>
      </c>
      <c r="B546" s="520" t="s">
        <v>3303</v>
      </c>
      <c r="C546" s="561" t="s">
        <v>3304</v>
      </c>
      <c r="D546" s="524" t="str">
        <f aca="false">A546&amp;" "&amp;HLOOKUP($C$1,$E$1:$V$4910,ROW(D546))</f>
        <v>VIR Virgin Islands, U.S. </v>
      </c>
      <c r="E546" s="520" t="s">
        <v>3305</v>
      </c>
      <c r="F546" s="521" t="s">
        <v>3306</v>
      </c>
      <c r="G546" s="520" t="s">
        <v>3307</v>
      </c>
      <c r="H546" s="520" t="s">
        <v>3308</v>
      </c>
      <c r="I546" s="520" t="s">
        <v>3309</v>
      </c>
      <c r="J546" s="506" t="s">
        <v>699</v>
      </c>
      <c r="K546" s="522" t="str">
        <f aca="false">IF(J546=A546,"","nix")</f>
        <v/>
      </c>
    </row>
    <row r="547" customFormat="false" ht="15.75" hidden="false" customHeight="true" outlineLevel="0" collapsed="false">
      <c r="A547" s="561" t="s">
        <v>701</v>
      </c>
      <c r="B547" s="520" t="s">
        <v>3310</v>
      </c>
      <c r="C547" s="561" t="s">
        <v>3311</v>
      </c>
      <c r="D547" s="524" t="str">
        <f aca="false">A547&amp;" "&amp;HLOOKUP($C$1,$E$1:$V$4910,ROW(D547))</f>
        <v>VNM Viet Nam </v>
      </c>
      <c r="E547" s="520" t="s">
        <v>700</v>
      </c>
      <c r="F547" s="521" t="s">
        <v>3312</v>
      </c>
      <c r="G547" s="520" t="s">
        <v>3313</v>
      </c>
      <c r="H547" s="520" t="s">
        <v>700</v>
      </c>
      <c r="I547" s="520" t="s">
        <v>700</v>
      </c>
      <c r="J547" s="506" t="s">
        <v>701</v>
      </c>
      <c r="K547" s="522" t="str">
        <f aca="false">IF(J547=A547,"","nix")</f>
        <v/>
      </c>
    </row>
    <row r="548" customFormat="false" ht="15.75" hidden="false" customHeight="true" outlineLevel="0" collapsed="false">
      <c r="A548" s="561" t="s">
        <v>703</v>
      </c>
      <c r="B548" s="520" t="s">
        <v>3314</v>
      </c>
      <c r="C548" s="561" t="s">
        <v>3315</v>
      </c>
      <c r="D548" s="524" t="str">
        <f aca="false">A548&amp;" "&amp;HLOOKUP($C$1,$E$1:$V$4910,ROW(D548))</f>
        <v>VUT Vanuatu </v>
      </c>
      <c r="E548" s="520" t="s">
        <v>702</v>
      </c>
      <c r="F548" s="521" t="s">
        <v>3316</v>
      </c>
      <c r="G548" s="520" t="s">
        <v>3316</v>
      </c>
      <c r="H548" s="520" t="s">
        <v>702</v>
      </c>
      <c r="I548" s="520" t="s">
        <v>702</v>
      </c>
      <c r="J548" s="506" t="s">
        <v>703</v>
      </c>
      <c r="K548" s="522" t="str">
        <f aca="false">IF(J548=A548,"","nix")</f>
        <v/>
      </c>
    </row>
    <row r="549" customFormat="false" ht="15.75" hidden="false" customHeight="true" outlineLevel="0" collapsed="false">
      <c r="A549" s="561" t="s">
        <v>705</v>
      </c>
      <c r="B549" s="520" t="s">
        <v>3317</v>
      </c>
      <c r="C549" s="561" t="s">
        <v>3318</v>
      </c>
      <c r="D549" s="524" t="str">
        <f aca="false">A549&amp;" "&amp;HLOOKUP($C$1,$E$1:$V$4910,ROW(D549))</f>
        <v>WSM Samoa </v>
      </c>
      <c r="E549" s="520" t="s">
        <v>704</v>
      </c>
      <c r="F549" s="521" t="s">
        <v>3319</v>
      </c>
      <c r="G549" s="520" t="s">
        <v>3319</v>
      </c>
      <c r="H549" s="520" t="s">
        <v>704</v>
      </c>
      <c r="I549" s="520" t="s">
        <v>704</v>
      </c>
      <c r="J549" s="506" t="s">
        <v>705</v>
      </c>
      <c r="K549" s="522" t="str">
        <f aca="false">IF(J549=A549,"","nix")</f>
        <v/>
      </c>
    </row>
    <row r="550" customFormat="false" ht="15.75" hidden="false" customHeight="true" outlineLevel="0" collapsed="false">
      <c r="A550" s="520" t="s">
        <v>707</v>
      </c>
      <c r="C550" s="520" t="s">
        <v>3320</v>
      </c>
      <c r="D550" s="524" t="str">
        <f aca="false">A550&amp;" "&amp;HLOOKUP($C$1,$E$1:$V$4910,ROW(D550))</f>
        <v>XKX Kosovo</v>
      </c>
      <c r="E550" s="520" t="s">
        <v>706</v>
      </c>
      <c r="F550" s="521" t="s">
        <v>706</v>
      </c>
      <c r="G550" s="520" t="s">
        <v>706</v>
      </c>
      <c r="H550" s="520" t="s">
        <v>706</v>
      </c>
      <c r="I550" s="520" t="s">
        <v>706</v>
      </c>
      <c r="J550" s="506" t="s">
        <v>707</v>
      </c>
      <c r="K550" s="522" t="str">
        <f aca="false">IF(J550=A550,"","nix")</f>
        <v/>
      </c>
    </row>
    <row r="551" customFormat="false" ht="15.75" hidden="false" customHeight="true" outlineLevel="0" collapsed="false">
      <c r="A551" s="561" t="s">
        <v>709</v>
      </c>
      <c r="B551" s="520" t="s">
        <v>3321</v>
      </c>
      <c r="C551" s="561" t="s">
        <v>3322</v>
      </c>
      <c r="D551" s="524" t="str">
        <f aca="false">A551&amp;" "&amp;HLOOKUP($C$1,$E$1:$V$4910,ROW(D551))</f>
        <v>YEM Yemen </v>
      </c>
      <c r="E551" s="520" t="s">
        <v>3323</v>
      </c>
      <c r="F551" s="521" t="s">
        <v>3324</v>
      </c>
      <c r="G551" s="520" t="s">
        <v>3324</v>
      </c>
      <c r="H551" s="520" t="s">
        <v>3325</v>
      </c>
      <c r="I551" s="520" t="s">
        <v>3325</v>
      </c>
      <c r="J551" s="506" t="s">
        <v>709</v>
      </c>
      <c r="K551" s="522" t="str">
        <f aca="false">IF(J551=A551,"","nix")</f>
        <v/>
      </c>
    </row>
    <row r="552" customFormat="false" ht="15.75" hidden="false" customHeight="true" outlineLevel="0" collapsed="false">
      <c r="A552" s="561" t="s">
        <v>711</v>
      </c>
      <c r="B552" s="520" t="s">
        <v>3326</v>
      </c>
      <c r="C552" s="561" t="s">
        <v>3327</v>
      </c>
      <c r="D552" s="524" t="str">
        <f aca="false">A552&amp;" "&amp;HLOOKUP($C$1,$E$1:$V$4910,ROW(D552))</f>
        <v>ZAF South Africa </v>
      </c>
      <c r="E552" s="520" t="s">
        <v>3328</v>
      </c>
      <c r="F552" s="521" t="s">
        <v>3329</v>
      </c>
      <c r="G552" s="520" t="s">
        <v>3330</v>
      </c>
      <c r="H552" s="520" t="s">
        <v>3331</v>
      </c>
      <c r="I552" s="520" t="s">
        <v>3332</v>
      </c>
      <c r="J552" s="506" t="s">
        <v>711</v>
      </c>
      <c r="K552" s="522" t="str">
        <f aca="false">IF(J552=A552,"","nix")</f>
        <v/>
      </c>
    </row>
    <row r="553" customFormat="false" ht="15.75" hidden="false" customHeight="true" outlineLevel="0" collapsed="false">
      <c r="A553" s="561" t="s">
        <v>713</v>
      </c>
      <c r="B553" s="520" t="s">
        <v>3333</v>
      </c>
      <c r="C553" s="561" t="s">
        <v>3334</v>
      </c>
      <c r="D553" s="524" t="str">
        <f aca="false">A553&amp;" "&amp;HLOOKUP($C$1,$E$1:$V$4910,ROW(D553))</f>
        <v>ZMB Zambia </v>
      </c>
      <c r="E553" s="520" t="s">
        <v>3335</v>
      </c>
      <c r="F553" s="521" t="s">
        <v>3336</v>
      </c>
      <c r="G553" s="520" t="s">
        <v>3336</v>
      </c>
      <c r="H553" s="520" t="s">
        <v>712</v>
      </c>
      <c r="I553" s="520" t="s">
        <v>3337</v>
      </c>
      <c r="J553" s="506" t="s">
        <v>713</v>
      </c>
      <c r="K553" s="522" t="str">
        <f aca="false">IF(J553=A553,"","nix")</f>
        <v/>
      </c>
    </row>
    <row r="554" customFormat="false" ht="15.75" hidden="false" customHeight="true" outlineLevel="0" collapsed="false">
      <c r="A554" s="561" t="s">
        <v>715</v>
      </c>
      <c r="B554" s="520" t="s">
        <v>3338</v>
      </c>
      <c r="C554" s="561" t="s">
        <v>3339</v>
      </c>
      <c r="D554" s="524" t="str">
        <f aca="false">A554&amp;" "&amp;HLOOKUP($C$1,$E$1:$V$4910,ROW(D554))</f>
        <v>ZWE Zimbabwe </v>
      </c>
      <c r="E554" s="520" t="s">
        <v>3340</v>
      </c>
      <c r="F554" s="521" t="s">
        <v>3341</v>
      </c>
      <c r="G554" s="520" t="s">
        <v>3341</v>
      </c>
      <c r="H554" s="520" t="s">
        <v>3342</v>
      </c>
      <c r="I554" s="520" t="s">
        <v>714</v>
      </c>
      <c r="J554" s="506" t="s">
        <v>715</v>
      </c>
      <c r="K554" s="522" t="str">
        <f aca="false">IF(J554=A554,"","nix")</f>
        <v/>
      </c>
    </row>
    <row r="555" customFormat="false" ht="13.5" hidden="false" customHeight="true" outlineLevel="0" collapsed="false">
      <c r="D555" s="524" t="str">
        <f aca="false">HLOOKUP($C$1,$E$1:$V$4910,ROW(D555))</f>
        <v>Average Africa</v>
      </c>
      <c r="E555" s="520" t="s">
        <v>3343</v>
      </c>
      <c r="F555" s="521" t="s">
        <v>3344</v>
      </c>
      <c r="G555" s="520" t="s">
        <v>716</v>
      </c>
      <c r="H555" s="520" t="s">
        <v>3345</v>
      </c>
      <c r="J555" s="506" t="s">
        <v>716</v>
      </c>
      <c r="K555" s="522" t="str">
        <f aca="false">IF(J555=A555,"","nix")</f>
        <v>nix</v>
      </c>
    </row>
    <row r="556" customFormat="false" ht="13.5" hidden="false" customHeight="true" outlineLevel="0" collapsed="false">
      <c r="D556" s="524" t="str">
        <f aca="false">HLOOKUP($C$1,$E$1:$V$4910,ROW(D556))</f>
        <v>Average Americas</v>
      </c>
      <c r="E556" s="520" t="s">
        <v>3346</v>
      </c>
      <c r="F556" s="521" t="s">
        <v>3347</v>
      </c>
      <c r="G556" s="520" t="s">
        <v>717</v>
      </c>
      <c r="H556" s="520" t="s">
        <v>3348</v>
      </c>
      <c r="I556" s="520" t="s">
        <v>3349</v>
      </c>
      <c r="J556" s="506" t="s">
        <v>717</v>
      </c>
      <c r="K556" s="522" t="str">
        <f aca="false">IF(J556=A556,"","nix")</f>
        <v>nix</v>
      </c>
    </row>
    <row r="557" customFormat="false" ht="13.5" hidden="false" customHeight="true" outlineLevel="0" collapsed="false">
      <c r="D557" s="524" t="str">
        <f aca="false">HLOOKUP($C$1,$E$1:$V$4910,ROW(D557))</f>
        <v>Average Asia</v>
      </c>
      <c r="E557" s="520" t="s">
        <v>3350</v>
      </c>
      <c r="F557" s="521" t="s">
        <v>3351</v>
      </c>
      <c r="G557" s="520" t="s">
        <v>718</v>
      </c>
      <c r="H557" s="520" t="s">
        <v>3352</v>
      </c>
      <c r="I557" s="520" t="s">
        <v>3353</v>
      </c>
      <c r="J557" s="506" t="s">
        <v>718</v>
      </c>
      <c r="K557" s="522" t="str">
        <f aca="false">IF(J557=A557,"","nix")</f>
        <v>nix</v>
      </c>
    </row>
    <row r="558" customFormat="false" ht="13.5" hidden="false" customHeight="true" outlineLevel="0" collapsed="false">
      <c r="D558" s="524" t="str">
        <f aca="false">HLOOKUP($C$1,$E$1:$V$4910,ROW(D558))</f>
        <v>Average Europe</v>
      </c>
      <c r="E558" s="520" t="s">
        <v>3354</v>
      </c>
      <c r="F558" s="521" t="s">
        <v>3355</v>
      </c>
      <c r="G558" s="520" t="s">
        <v>719</v>
      </c>
      <c r="H558" s="520" t="s">
        <v>3356</v>
      </c>
      <c r="I558" s="520" t="s">
        <v>3357</v>
      </c>
      <c r="J558" s="506" t="s">
        <v>719</v>
      </c>
      <c r="K558" s="522" t="str">
        <f aca="false">IF(J558=A558,"","nix")</f>
        <v>nix</v>
      </c>
    </row>
    <row r="559" customFormat="false" ht="13.5" hidden="false" customHeight="true" outlineLevel="0" collapsed="false">
      <c r="D559" s="524" t="str">
        <f aca="false">HLOOKUP($C$1,$E$1:$V$4910,ROW(D559))</f>
        <v>Average Oceania</v>
      </c>
      <c r="E559" s="520" t="s">
        <v>3358</v>
      </c>
      <c r="F559" s="521" t="s">
        <v>3359</v>
      </c>
      <c r="G559" s="520" t="s">
        <v>720</v>
      </c>
      <c r="H559" s="520" t="s">
        <v>3360</v>
      </c>
      <c r="I559" s="520" t="s">
        <v>3361</v>
      </c>
      <c r="J559" s="506" t="s">
        <v>720</v>
      </c>
      <c r="K559" s="522" t="str">
        <f aca="false">IF(J559=A559,"","nix")</f>
        <v>nix</v>
      </c>
    </row>
    <row r="560" customFormat="false" ht="13.5" hidden="false" customHeight="true" outlineLevel="0" collapsed="false">
      <c r="D560" s="524" t="n">
        <f aca="false">HLOOKUP($C$1,$E$1:$V$4910,ROW(D560))</f>
        <v>0</v>
      </c>
      <c r="E560" s="520" t="s">
        <v>3362</v>
      </c>
      <c r="F560" s="521" t="s">
        <v>3363</v>
      </c>
      <c r="H560" s="520" t="s">
        <v>3364</v>
      </c>
      <c r="I560" s="520" t="s">
        <v>3365</v>
      </c>
      <c r="J560" s="456" t="s">
        <v>721</v>
      </c>
      <c r="K560" s="522" t="str">
        <f aca="false">IF(J560=A560,"","nix")</f>
        <v>nix</v>
      </c>
    </row>
    <row r="561" customFormat="false" ht="13.5" hidden="false" customHeight="true" outlineLevel="0" collapsed="false">
      <c r="D561" s="524" t="n">
        <f aca="false">HLOOKUP($C$1,$E$1:$V$4910,ROW(D561))</f>
        <v>0</v>
      </c>
      <c r="E561" s="520" t="s">
        <v>2009</v>
      </c>
      <c r="F561" s="521" t="s">
        <v>3366</v>
      </c>
      <c r="H561" s="520" t="s">
        <v>3367</v>
      </c>
      <c r="I561" s="520" t="s">
        <v>3368</v>
      </c>
      <c r="K561" s="522" t="str">
        <f aca="false">IF(J561=A561,"","nix")</f>
        <v/>
      </c>
    </row>
    <row r="65535" customFormat="false" ht="12.75" hidden="false" customHeight="true" outlineLevel="0" collapsed="false"/>
    <row r="65536" customFormat="false" ht="12.75" hidden="false" customHeight="true" outlineLevel="0" collapsed="false"/>
  </sheetData>
  <sheetProtection algorithmName="SHA-512" hashValue="UuOHiuROEX2ztRAgEwMbEXKerOmNzuiNs8Cd6gjxQUyRNKINWVaD3ONcLMwwyn/iZo5RgfYAlZthF9FNBdKfHQ==" saltValue="MxxSWQTU4bTYq1fYYLxKmw==" spinCount="100000" sheet="true" selectLockedCells="true" selectUnlockedCells="true"/>
  <hyperlinks>
    <hyperlink ref="F55" r:id="rId1" display="Domande per il bilancio: info@economia-del-ben-comune.it (consulenti EBC)"/>
    <hyperlink ref="H55" r:id="rId2" display="Preguntas sobre como elaborar el balance del Bien Común: nodo-empresas@economia-del-bien-comun.es"/>
    <hyperlink ref="F56" r:id="rId3" display="Domande per l'audit: audit@febc.eu (Verificatori/auditori EBC)"/>
    <hyperlink ref="H56" r:id="rId4" display="Preguntas sobre la auditoría: nodo-empresas@economia-del-bien-comun.es"/>
    <hyperlink ref="G57" r:id="rId5" display="Feedback on the development of the Matrix: bilanz@ecogood.org (Matrix Development Team)"/>
    <hyperlink ref="H57" r:id="rId6" display="Desarrollo de la matriz: bilanz@ecogood.org (Equipo de desarrollo de la matriz EBC)"/>
    <hyperlink ref="E58" r:id="rId7" display="Excel-Programmierung: Christian Loy (christian.loy@gmx.at); Christian Kozina; Multilanguage-tool: Bernhard Oberrauch"/>
    <hyperlink ref="G58" r:id="rId8" display="Excel programming: Christian Loy (christian.loy@gmx.at); Christian Kozina; Multilanguage tool: Bernhard Oberrauch"/>
    <hyperlink ref="H58" r:id="rId9" display="Programación en Excel: Christian Loy (christian.loy@gmx.at);Christian Kozina; Multilanguage-tool: Bernhard Oberrauch"/>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Seite &amp;P</oddFooter>
  </headerFooter>
</worksheet>
</file>

<file path=docProps/app.xml><?xml version="1.0" encoding="utf-8"?>
<Properties xmlns="http://schemas.openxmlformats.org/officeDocument/2006/extended-properties" xmlns:vt="http://schemas.openxmlformats.org/officeDocument/2006/docPropsVTypes">
  <Template/>
  <TotalTime>71</TotalTime>
  <Application>LibreOffice/7.3.1.3$Linux_X86_64 LibreOffice_project/eead5aec017556e2cdbf9dfff06537ec58969b73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2018-07-24T07:18:55Z</dcterms:created>
  <dc:creator>Usuario6</dc:creator>
  <dc:description/>
  <dc:language>en-US</dc:language>
  <cp:lastModifiedBy/>
  <dcterms:modified xsi:type="dcterms:W3CDTF">2022-04-01T17:04:56Z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